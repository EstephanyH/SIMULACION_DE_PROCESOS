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estephany_herrera_iteso_mx/Documents/sumulacion de procesos/"/>
    </mc:Choice>
  </mc:AlternateContent>
  <xr:revisionPtr revIDLastSave="0" documentId="8_{36CA9708-71A8-4D41-BD48-4E4B9C15B096}" xr6:coauthVersionLast="47" xr6:coauthVersionMax="47" xr10:uidLastSave="{00000000-0000-0000-0000-000000000000}"/>
  <bookViews>
    <workbookView xWindow="-108" yWindow="-108" windowWidth="23256" windowHeight="12456" xr2:uid="{0A4901B0-8865-4640-BDF2-2DF23D613040}"/>
  </bookViews>
  <sheets>
    <sheet name="portafoli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1" i="1" l="1"/>
  <c r="F791" i="1"/>
  <c r="E791" i="1"/>
  <c r="G790" i="1"/>
  <c r="F790" i="1"/>
  <c r="E790" i="1"/>
  <c r="G789" i="1"/>
  <c r="F789" i="1"/>
  <c r="E789" i="1"/>
  <c r="G788" i="1"/>
  <c r="F788" i="1"/>
  <c r="E788" i="1"/>
  <c r="G787" i="1"/>
  <c r="F787" i="1"/>
  <c r="E787" i="1"/>
  <c r="G786" i="1"/>
  <c r="F786" i="1"/>
  <c r="E786" i="1"/>
  <c r="G785" i="1"/>
  <c r="F785" i="1"/>
  <c r="E785" i="1"/>
  <c r="G784" i="1"/>
  <c r="F784" i="1"/>
  <c r="E784" i="1"/>
  <c r="G783" i="1"/>
  <c r="F783" i="1"/>
  <c r="E783" i="1"/>
  <c r="G782" i="1"/>
  <c r="F782" i="1"/>
  <c r="E782" i="1"/>
  <c r="G781" i="1"/>
  <c r="F781" i="1"/>
  <c r="E781" i="1"/>
  <c r="G780" i="1"/>
  <c r="F780" i="1"/>
  <c r="E780" i="1"/>
  <c r="G779" i="1"/>
  <c r="F779" i="1"/>
  <c r="E779" i="1"/>
  <c r="G778" i="1"/>
  <c r="F778" i="1"/>
  <c r="E778" i="1"/>
  <c r="G777" i="1"/>
  <c r="F777" i="1"/>
  <c r="E777" i="1"/>
  <c r="G776" i="1"/>
  <c r="F776" i="1"/>
  <c r="E776" i="1"/>
  <c r="G775" i="1"/>
  <c r="F775" i="1"/>
  <c r="E775" i="1"/>
  <c r="G774" i="1"/>
  <c r="F774" i="1"/>
  <c r="E774" i="1"/>
  <c r="G773" i="1"/>
  <c r="F773" i="1"/>
  <c r="E773" i="1"/>
  <c r="G772" i="1"/>
  <c r="F772" i="1"/>
  <c r="E772" i="1"/>
  <c r="G771" i="1"/>
  <c r="F771" i="1"/>
  <c r="E771" i="1"/>
  <c r="G770" i="1"/>
  <c r="F770" i="1"/>
  <c r="E770" i="1"/>
  <c r="G769" i="1"/>
  <c r="F769" i="1"/>
  <c r="E769" i="1"/>
  <c r="G768" i="1"/>
  <c r="F768" i="1"/>
  <c r="E768" i="1"/>
  <c r="G767" i="1"/>
  <c r="F767" i="1"/>
  <c r="E767" i="1"/>
  <c r="G766" i="1"/>
  <c r="F766" i="1"/>
  <c r="E766" i="1"/>
  <c r="G765" i="1"/>
  <c r="F765" i="1"/>
  <c r="E765" i="1"/>
  <c r="G764" i="1"/>
  <c r="F764" i="1"/>
  <c r="E764" i="1"/>
  <c r="G763" i="1"/>
  <c r="F763" i="1"/>
  <c r="E763" i="1"/>
  <c r="G762" i="1"/>
  <c r="F762" i="1"/>
  <c r="E762" i="1"/>
  <c r="G761" i="1"/>
  <c r="F761" i="1"/>
  <c r="E761" i="1"/>
  <c r="G760" i="1"/>
  <c r="F760" i="1"/>
  <c r="E760" i="1"/>
  <c r="G759" i="1"/>
  <c r="F759" i="1"/>
  <c r="E759" i="1"/>
  <c r="G758" i="1"/>
  <c r="F758" i="1"/>
  <c r="E758" i="1"/>
  <c r="G757" i="1"/>
  <c r="F757" i="1"/>
  <c r="E757" i="1"/>
  <c r="G756" i="1"/>
  <c r="F756" i="1"/>
  <c r="E756" i="1"/>
  <c r="G755" i="1"/>
  <c r="F755" i="1"/>
  <c r="E755" i="1"/>
  <c r="G754" i="1"/>
  <c r="F754" i="1"/>
  <c r="E754" i="1"/>
  <c r="G753" i="1"/>
  <c r="F753" i="1"/>
  <c r="E753" i="1"/>
  <c r="G752" i="1"/>
  <c r="F752" i="1"/>
  <c r="E752" i="1"/>
  <c r="G751" i="1"/>
  <c r="F751" i="1"/>
  <c r="E751" i="1"/>
  <c r="G750" i="1"/>
  <c r="F750" i="1"/>
  <c r="E750" i="1"/>
  <c r="G749" i="1"/>
  <c r="F749" i="1"/>
  <c r="E749" i="1"/>
  <c r="G748" i="1"/>
  <c r="F748" i="1"/>
  <c r="E748" i="1"/>
  <c r="G747" i="1"/>
  <c r="F747" i="1"/>
  <c r="E747" i="1"/>
  <c r="G746" i="1"/>
  <c r="F746" i="1"/>
  <c r="E746" i="1"/>
  <c r="G745" i="1"/>
  <c r="F745" i="1"/>
  <c r="E745" i="1"/>
  <c r="G744" i="1"/>
  <c r="F744" i="1"/>
  <c r="E744" i="1"/>
  <c r="G743" i="1"/>
  <c r="F743" i="1"/>
  <c r="E743" i="1"/>
  <c r="G742" i="1"/>
  <c r="F742" i="1"/>
  <c r="E742" i="1"/>
  <c r="G741" i="1"/>
  <c r="F741" i="1"/>
  <c r="E741" i="1"/>
  <c r="G740" i="1"/>
  <c r="F740" i="1"/>
  <c r="E740" i="1"/>
  <c r="G739" i="1"/>
  <c r="F739" i="1"/>
  <c r="E739" i="1"/>
  <c r="G738" i="1"/>
  <c r="F738" i="1"/>
  <c r="E738" i="1"/>
  <c r="G737" i="1"/>
  <c r="F737" i="1"/>
  <c r="E737" i="1"/>
  <c r="G736" i="1"/>
  <c r="F736" i="1"/>
  <c r="E736" i="1"/>
  <c r="G735" i="1"/>
  <c r="F735" i="1"/>
  <c r="E735" i="1"/>
  <c r="G734" i="1"/>
  <c r="F734" i="1"/>
  <c r="E734" i="1"/>
  <c r="G733" i="1"/>
  <c r="F733" i="1"/>
  <c r="E733" i="1"/>
  <c r="G732" i="1"/>
  <c r="F732" i="1"/>
  <c r="E732" i="1"/>
  <c r="G731" i="1"/>
  <c r="F731" i="1"/>
  <c r="E731" i="1"/>
  <c r="G730" i="1"/>
  <c r="F730" i="1"/>
  <c r="E730" i="1"/>
  <c r="G729" i="1"/>
  <c r="F729" i="1"/>
  <c r="E729" i="1"/>
  <c r="G728" i="1"/>
  <c r="F728" i="1"/>
  <c r="E728" i="1"/>
  <c r="G727" i="1"/>
  <c r="F727" i="1"/>
  <c r="E727" i="1"/>
  <c r="G726" i="1"/>
  <c r="F726" i="1"/>
  <c r="E726" i="1"/>
  <c r="G725" i="1"/>
  <c r="F725" i="1"/>
  <c r="E725" i="1"/>
  <c r="G724" i="1"/>
  <c r="F724" i="1"/>
  <c r="E724" i="1"/>
  <c r="G723" i="1"/>
  <c r="F723" i="1"/>
  <c r="E723" i="1"/>
  <c r="G722" i="1"/>
  <c r="F722" i="1"/>
  <c r="E722" i="1"/>
  <c r="G721" i="1"/>
  <c r="F721" i="1"/>
  <c r="E721" i="1"/>
  <c r="G720" i="1"/>
  <c r="F720" i="1"/>
  <c r="E720" i="1"/>
  <c r="G719" i="1"/>
  <c r="F719" i="1"/>
  <c r="E719" i="1"/>
  <c r="G718" i="1"/>
  <c r="F718" i="1"/>
  <c r="E718" i="1"/>
  <c r="G717" i="1"/>
  <c r="F717" i="1"/>
  <c r="E717" i="1"/>
  <c r="G716" i="1"/>
  <c r="F716" i="1"/>
  <c r="E716" i="1"/>
  <c r="G715" i="1"/>
  <c r="F715" i="1"/>
  <c r="E715" i="1"/>
  <c r="G714" i="1"/>
  <c r="F714" i="1"/>
  <c r="E714" i="1"/>
  <c r="G713" i="1"/>
  <c r="F713" i="1"/>
  <c r="E713" i="1"/>
  <c r="G712" i="1"/>
  <c r="F712" i="1"/>
  <c r="E712" i="1"/>
  <c r="G711" i="1"/>
  <c r="F711" i="1"/>
  <c r="E711" i="1"/>
  <c r="G710" i="1"/>
  <c r="F710" i="1"/>
  <c r="E710" i="1"/>
  <c r="G709" i="1"/>
  <c r="F709" i="1"/>
  <c r="E709" i="1"/>
  <c r="G708" i="1"/>
  <c r="F708" i="1"/>
  <c r="E708" i="1"/>
  <c r="G707" i="1"/>
  <c r="F707" i="1"/>
  <c r="E707" i="1"/>
  <c r="G706" i="1"/>
  <c r="F706" i="1"/>
  <c r="E706" i="1"/>
  <c r="G705" i="1"/>
  <c r="F705" i="1"/>
  <c r="E705" i="1"/>
  <c r="G704" i="1"/>
  <c r="F704" i="1"/>
  <c r="E704" i="1"/>
  <c r="G703" i="1"/>
  <c r="F703" i="1"/>
  <c r="E703" i="1"/>
  <c r="G702" i="1"/>
  <c r="F702" i="1"/>
  <c r="E702" i="1"/>
  <c r="G701" i="1"/>
  <c r="F701" i="1"/>
  <c r="E701" i="1"/>
  <c r="G700" i="1"/>
  <c r="F700" i="1"/>
  <c r="E700" i="1"/>
  <c r="G699" i="1"/>
  <c r="F699" i="1"/>
  <c r="E699" i="1"/>
  <c r="G698" i="1"/>
  <c r="F698" i="1"/>
  <c r="E698" i="1"/>
  <c r="G697" i="1"/>
  <c r="F697" i="1"/>
  <c r="E697" i="1"/>
  <c r="G696" i="1"/>
  <c r="F696" i="1"/>
  <c r="E696" i="1"/>
  <c r="G695" i="1"/>
  <c r="F695" i="1"/>
  <c r="E695" i="1"/>
  <c r="G694" i="1"/>
  <c r="F694" i="1"/>
  <c r="E694" i="1"/>
  <c r="G693" i="1"/>
  <c r="F693" i="1"/>
  <c r="E693" i="1"/>
  <c r="G692" i="1"/>
  <c r="F692" i="1"/>
  <c r="E692" i="1"/>
  <c r="G691" i="1"/>
  <c r="F691" i="1"/>
  <c r="E691" i="1"/>
  <c r="G690" i="1"/>
  <c r="F690" i="1"/>
  <c r="E690" i="1"/>
  <c r="G689" i="1"/>
  <c r="F689" i="1"/>
  <c r="E689" i="1"/>
  <c r="G688" i="1"/>
  <c r="F688" i="1"/>
  <c r="E688" i="1"/>
  <c r="G687" i="1"/>
  <c r="F687" i="1"/>
  <c r="E687" i="1"/>
  <c r="G686" i="1"/>
  <c r="F686" i="1"/>
  <c r="E686" i="1"/>
  <c r="G685" i="1"/>
  <c r="F685" i="1"/>
  <c r="E685" i="1"/>
  <c r="G684" i="1"/>
  <c r="F684" i="1"/>
  <c r="E684" i="1"/>
  <c r="G683" i="1"/>
  <c r="F683" i="1"/>
  <c r="E683" i="1"/>
  <c r="G682" i="1"/>
  <c r="F682" i="1"/>
  <c r="E682" i="1"/>
  <c r="G681" i="1"/>
  <c r="F681" i="1"/>
  <c r="E681" i="1"/>
  <c r="G680" i="1"/>
  <c r="F680" i="1"/>
  <c r="E680" i="1"/>
  <c r="G679" i="1"/>
  <c r="F679" i="1"/>
  <c r="E679" i="1"/>
  <c r="G678" i="1"/>
  <c r="F678" i="1"/>
  <c r="E678" i="1"/>
  <c r="G677" i="1"/>
  <c r="F677" i="1"/>
  <c r="E677" i="1"/>
  <c r="G676" i="1"/>
  <c r="F676" i="1"/>
  <c r="E676" i="1"/>
  <c r="G675" i="1"/>
  <c r="F675" i="1"/>
  <c r="E675" i="1"/>
  <c r="G674" i="1"/>
  <c r="F674" i="1"/>
  <c r="E674" i="1"/>
  <c r="G673" i="1"/>
  <c r="F673" i="1"/>
  <c r="E673" i="1"/>
  <c r="G672" i="1"/>
  <c r="F672" i="1"/>
  <c r="E672" i="1"/>
  <c r="G671" i="1"/>
  <c r="F671" i="1"/>
  <c r="E671" i="1"/>
  <c r="G670" i="1"/>
  <c r="F670" i="1"/>
  <c r="E670" i="1"/>
  <c r="G669" i="1"/>
  <c r="F669" i="1"/>
  <c r="E669" i="1"/>
  <c r="G668" i="1"/>
  <c r="F668" i="1"/>
  <c r="E668" i="1"/>
  <c r="G667" i="1"/>
  <c r="F667" i="1"/>
  <c r="E667" i="1"/>
  <c r="G666" i="1"/>
  <c r="F666" i="1"/>
  <c r="E666" i="1"/>
  <c r="G665" i="1"/>
  <c r="F665" i="1"/>
  <c r="E665" i="1"/>
  <c r="G664" i="1"/>
  <c r="F664" i="1"/>
  <c r="E664" i="1"/>
  <c r="G663" i="1"/>
  <c r="F663" i="1"/>
  <c r="E663" i="1"/>
  <c r="G662" i="1"/>
  <c r="F662" i="1"/>
  <c r="E662" i="1"/>
  <c r="G661" i="1"/>
  <c r="F661" i="1"/>
  <c r="E661" i="1"/>
  <c r="G660" i="1"/>
  <c r="F660" i="1"/>
  <c r="E660" i="1"/>
  <c r="G659" i="1"/>
  <c r="F659" i="1"/>
  <c r="E659" i="1"/>
  <c r="G658" i="1"/>
  <c r="F658" i="1"/>
  <c r="E658" i="1"/>
  <c r="G657" i="1"/>
  <c r="F657" i="1"/>
  <c r="E657" i="1"/>
  <c r="G656" i="1"/>
  <c r="F656" i="1"/>
  <c r="E656" i="1"/>
  <c r="G655" i="1"/>
  <c r="F655" i="1"/>
  <c r="E655" i="1"/>
  <c r="G654" i="1"/>
  <c r="F654" i="1"/>
  <c r="E654" i="1"/>
  <c r="G653" i="1"/>
  <c r="F653" i="1"/>
  <c r="E653" i="1"/>
  <c r="G652" i="1"/>
  <c r="F652" i="1"/>
  <c r="E652" i="1"/>
  <c r="G651" i="1"/>
  <c r="F651" i="1"/>
  <c r="E651" i="1"/>
  <c r="G650" i="1"/>
  <c r="F650" i="1"/>
  <c r="E650" i="1"/>
  <c r="G649" i="1"/>
  <c r="F649" i="1"/>
  <c r="E649" i="1"/>
  <c r="G648" i="1"/>
  <c r="F648" i="1"/>
  <c r="E648" i="1"/>
  <c r="G647" i="1"/>
  <c r="F647" i="1"/>
  <c r="E647" i="1"/>
  <c r="G646" i="1"/>
  <c r="F646" i="1"/>
  <c r="E646" i="1"/>
  <c r="G645" i="1"/>
  <c r="F645" i="1"/>
  <c r="E645" i="1"/>
  <c r="G644" i="1"/>
  <c r="F644" i="1"/>
  <c r="E644" i="1"/>
  <c r="G643" i="1"/>
  <c r="F643" i="1"/>
  <c r="E643" i="1"/>
  <c r="G642" i="1"/>
  <c r="F642" i="1"/>
  <c r="E642" i="1"/>
  <c r="G641" i="1"/>
  <c r="F641" i="1"/>
  <c r="E641" i="1"/>
  <c r="G640" i="1"/>
  <c r="F640" i="1"/>
  <c r="E640" i="1"/>
  <c r="G639" i="1"/>
  <c r="F639" i="1"/>
  <c r="E639" i="1"/>
  <c r="G638" i="1"/>
  <c r="F638" i="1"/>
  <c r="E638" i="1"/>
  <c r="G637" i="1"/>
  <c r="F637" i="1"/>
  <c r="E637" i="1"/>
  <c r="G636" i="1"/>
  <c r="F636" i="1"/>
  <c r="E636" i="1"/>
  <c r="G635" i="1"/>
  <c r="F635" i="1"/>
  <c r="E635" i="1"/>
  <c r="G634" i="1"/>
  <c r="F634" i="1"/>
  <c r="E634" i="1"/>
  <c r="G633" i="1"/>
  <c r="F633" i="1"/>
  <c r="E633" i="1"/>
  <c r="G632" i="1"/>
  <c r="F632" i="1"/>
  <c r="E632" i="1"/>
  <c r="G631" i="1"/>
  <c r="F631" i="1"/>
  <c r="E631" i="1"/>
  <c r="G630" i="1"/>
  <c r="F630" i="1"/>
  <c r="E630" i="1"/>
  <c r="G629" i="1"/>
  <c r="F629" i="1"/>
  <c r="E629" i="1"/>
  <c r="G628" i="1"/>
  <c r="F628" i="1"/>
  <c r="E628" i="1"/>
  <c r="G627" i="1"/>
  <c r="F627" i="1"/>
  <c r="E627" i="1"/>
  <c r="G626" i="1"/>
  <c r="F626" i="1"/>
  <c r="E626" i="1"/>
  <c r="G625" i="1"/>
  <c r="F625" i="1"/>
  <c r="E625" i="1"/>
  <c r="G624" i="1"/>
  <c r="F624" i="1"/>
  <c r="E624" i="1"/>
  <c r="G623" i="1"/>
  <c r="F623" i="1"/>
  <c r="E623" i="1"/>
  <c r="G622" i="1"/>
  <c r="F622" i="1"/>
  <c r="E622" i="1"/>
  <c r="G621" i="1"/>
  <c r="F621" i="1"/>
  <c r="E621" i="1"/>
  <c r="G620" i="1"/>
  <c r="F620" i="1"/>
  <c r="E620" i="1"/>
  <c r="G619" i="1"/>
  <c r="F619" i="1"/>
  <c r="E619" i="1"/>
  <c r="G618" i="1"/>
  <c r="F618" i="1"/>
  <c r="E618" i="1"/>
  <c r="G617" i="1"/>
  <c r="F617" i="1"/>
  <c r="E617" i="1"/>
  <c r="G616" i="1"/>
  <c r="F616" i="1"/>
  <c r="E616" i="1"/>
  <c r="G615" i="1"/>
  <c r="F615" i="1"/>
  <c r="E615" i="1"/>
  <c r="G614" i="1"/>
  <c r="F614" i="1"/>
  <c r="E614" i="1"/>
  <c r="G613" i="1"/>
  <c r="F613" i="1"/>
  <c r="E613" i="1"/>
  <c r="G612" i="1"/>
  <c r="F612" i="1"/>
  <c r="E612" i="1"/>
  <c r="G611" i="1"/>
  <c r="F611" i="1"/>
  <c r="E611" i="1"/>
  <c r="G610" i="1"/>
  <c r="F610" i="1"/>
  <c r="E610" i="1"/>
  <c r="G609" i="1"/>
  <c r="F609" i="1"/>
  <c r="E609" i="1"/>
  <c r="G608" i="1"/>
  <c r="F608" i="1"/>
  <c r="E608" i="1"/>
  <c r="G607" i="1"/>
  <c r="F607" i="1"/>
  <c r="E607" i="1"/>
  <c r="G606" i="1"/>
  <c r="F606" i="1"/>
  <c r="E606" i="1"/>
  <c r="G605" i="1"/>
  <c r="F605" i="1"/>
  <c r="E605" i="1"/>
  <c r="G604" i="1"/>
  <c r="F604" i="1"/>
  <c r="E604" i="1"/>
  <c r="G603" i="1"/>
  <c r="F603" i="1"/>
  <c r="E603" i="1"/>
  <c r="G602" i="1"/>
  <c r="F602" i="1"/>
  <c r="E602" i="1"/>
  <c r="G601" i="1"/>
  <c r="F601" i="1"/>
  <c r="E601" i="1"/>
  <c r="G600" i="1"/>
  <c r="F600" i="1"/>
  <c r="E600" i="1"/>
  <c r="G599" i="1"/>
  <c r="F599" i="1"/>
  <c r="E599" i="1"/>
  <c r="G598" i="1"/>
  <c r="F598" i="1"/>
  <c r="E598" i="1"/>
  <c r="G597" i="1"/>
  <c r="F597" i="1"/>
  <c r="E597" i="1"/>
  <c r="G596" i="1"/>
  <c r="F596" i="1"/>
  <c r="E596" i="1"/>
  <c r="G595" i="1"/>
  <c r="F595" i="1"/>
  <c r="E595" i="1"/>
  <c r="G594" i="1"/>
  <c r="F594" i="1"/>
  <c r="E594" i="1"/>
  <c r="G593" i="1"/>
  <c r="F593" i="1"/>
  <c r="E593" i="1"/>
  <c r="G592" i="1"/>
  <c r="F592" i="1"/>
  <c r="E592" i="1"/>
  <c r="G591" i="1"/>
  <c r="F591" i="1"/>
  <c r="E591" i="1"/>
  <c r="G590" i="1"/>
  <c r="F590" i="1"/>
  <c r="E590" i="1"/>
  <c r="G589" i="1"/>
  <c r="F589" i="1"/>
  <c r="E589" i="1"/>
  <c r="G588" i="1"/>
  <c r="F588" i="1"/>
  <c r="E588" i="1"/>
  <c r="G587" i="1"/>
  <c r="F587" i="1"/>
  <c r="E587" i="1"/>
  <c r="G586" i="1"/>
  <c r="F586" i="1"/>
  <c r="E586" i="1"/>
  <c r="G585" i="1"/>
  <c r="F585" i="1"/>
  <c r="E585" i="1"/>
  <c r="G584" i="1"/>
  <c r="F584" i="1"/>
  <c r="E584" i="1"/>
  <c r="G583" i="1"/>
  <c r="F583" i="1"/>
  <c r="E583" i="1"/>
  <c r="G582" i="1"/>
  <c r="F582" i="1"/>
  <c r="E582" i="1"/>
  <c r="G581" i="1"/>
  <c r="F581" i="1"/>
  <c r="E581" i="1"/>
  <c r="G580" i="1"/>
  <c r="F580" i="1"/>
  <c r="E580" i="1"/>
  <c r="G579" i="1"/>
  <c r="F579" i="1"/>
  <c r="E579" i="1"/>
  <c r="G578" i="1"/>
  <c r="F578" i="1"/>
  <c r="E578" i="1"/>
  <c r="G577" i="1"/>
  <c r="F577" i="1"/>
  <c r="E577" i="1"/>
  <c r="G576" i="1"/>
  <c r="F576" i="1"/>
  <c r="E576" i="1"/>
  <c r="G575" i="1"/>
  <c r="F575" i="1"/>
  <c r="E575" i="1"/>
  <c r="G574" i="1"/>
  <c r="F574" i="1"/>
  <c r="E574" i="1"/>
  <c r="G573" i="1"/>
  <c r="F573" i="1"/>
  <c r="E573" i="1"/>
  <c r="G572" i="1"/>
  <c r="F572" i="1"/>
  <c r="E572" i="1"/>
  <c r="G571" i="1"/>
  <c r="F571" i="1"/>
  <c r="E571" i="1"/>
  <c r="G570" i="1"/>
  <c r="F570" i="1"/>
  <c r="E570" i="1"/>
  <c r="G569" i="1"/>
  <c r="F569" i="1"/>
  <c r="E569" i="1"/>
  <c r="G568" i="1"/>
  <c r="F568" i="1"/>
  <c r="E568" i="1"/>
  <c r="G567" i="1"/>
  <c r="F567" i="1"/>
  <c r="E567" i="1"/>
  <c r="G566" i="1"/>
  <c r="F566" i="1"/>
  <c r="E566" i="1"/>
  <c r="G565" i="1"/>
  <c r="F565" i="1"/>
  <c r="E565" i="1"/>
  <c r="G564" i="1"/>
  <c r="F564" i="1"/>
  <c r="E564" i="1"/>
  <c r="G563" i="1"/>
  <c r="F563" i="1"/>
  <c r="E563" i="1"/>
  <c r="G562" i="1"/>
  <c r="F562" i="1"/>
  <c r="E562" i="1"/>
  <c r="G561" i="1"/>
  <c r="F561" i="1"/>
  <c r="E561" i="1"/>
  <c r="G560" i="1"/>
  <c r="F560" i="1"/>
  <c r="E560" i="1"/>
  <c r="G559" i="1"/>
  <c r="F559" i="1"/>
  <c r="E559" i="1"/>
  <c r="G558" i="1"/>
  <c r="F558" i="1"/>
  <c r="E558" i="1"/>
  <c r="G557" i="1"/>
  <c r="F557" i="1"/>
  <c r="E557" i="1"/>
  <c r="G556" i="1"/>
  <c r="F556" i="1"/>
  <c r="E556" i="1"/>
  <c r="G555" i="1"/>
  <c r="F555" i="1"/>
  <c r="E555" i="1"/>
  <c r="G554" i="1"/>
  <c r="F554" i="1"/>
  <c r="E554" i="1"/>
  <c r="G553" i="1"/>
  <c r="F553" i="1"/>
  <c r="E553" i="1"/>
  <c r="G552" i="1"/>
  <c r="F552" i="1"/>
  <c r="E552" i="1"/>
  <c r="G551" i="1"/>
  <c r="F551" i="1"/>
  <c r="E551" i="1"/>
  <c r="G550" i="1"/>
  <c r="F550" i="1"/>
  <c r="E550" i="1"/>
  <c r="G549" i="1"/>
  <c r="F549" i="1"/>
  <c r="E549" i="1"/>
  <c r="G548" i="1"/>
  <c r="F548" i="1"/>
  <c r="E548" i="1"/>
  <c r="G547" i="1"/>
  <c r="F547" i="1"/>
  <c r="E547" i="1"/>
  <c r="G546" i="1"/>
  <c r="F546" i="1"/>
  <c r="E546" i="1"/>
  <c r="G545" i="1"/>
  <c r="F545" i="1"/>
  <c r="E545" i="1"/>
  <c r="G544" i="1"/>
  <c r="F544" i="1"/>
  <c r="E544" i="1"/>
  <c r="G543" i="1"/>
  <c r="F543" i="1"/>
  <c r="E543" i="1"/>
  <c r="G542" i="1"/>
  <c r="F542" i="1"/>
  <c r="E542" i="1"/>
  <c r="G541" i="1"/>
  <c r="F541" i="1"/>
  <c r="E541" i="1"/>
  <c r="G540" i="1"/>
  <c r="F540" i="1"/>
  <c r="E540" i="1"/>
  <c r="G539" i="1"/>
  <c r="F539" i="1"/>
  <c r="E539" i="1"/>
  <c r="G538" i="1"/>
  <c r="F538" i="1"/>
  <c r="E538" i="1"/>
  <c r="G537" i="1"/>
  <c r="F537" i="1"/>
  <c r="E537" i="1"/>
  <c r="G536" i="1"/>
  <c r="F536" i="1"/>
  <c r="E536" i="1"/>
  <c r="G535" i="1"/>
  <c r="F535" i="1"/>
  <c r="E535" i="1"/>
  <c r="G534" i="1"/>
  <c r="F534" i="1"/>
  <c r="E534" i="1"/>
  <c r="G533" i="1"/>
  <c r="F533" i="1"/>
  <c r="E533" i="1"/>
  <c r="G532" i="1"/>
  <c r="F532" i="1"/>
  <c r="E532" i="1"/>
  <c r="G531" i="1"/>
  <c r="F531" i="1"/>
  <c r="E531" i="1"/>
  <c r="G530" i="1"/>
  <c r="F530" i="1"/>
  <c r="E530" i="1"/>
  <c r="G529" i="1"/>
  <c r="F529" i="1"/>
  <c r="E529" i="1"/>
  <c r="G528" i="1"/>
  <c r="F528" i="1"/>
  <c r="E528" i="1"/>
  <c r="G527" i="1"/>
  <c r="F527" i="1"/>
  <c r="E527" i="1"/>
  <c r="G526" i="1"/>
  <c r="F526" i="1"/>
  <c r="E526" i="1"/>
  <c r="G525" i="1"/>
  <c r="F525" i="1"/>
  <c r="E525" i="1"/>
  <c r="G524" i="1"/>
  <c r="F524" i="1"/>
  <c r="E524" i="1"/>
  <c r="G523" i="1"/>
  <c r="F523" i="1"/>
  <c r="E523" i="1"/>
  <c r="G522" i="1"/>
  <c r="F522" i="1"/>
  <c r="E522" i="1"/>
  <c r="G521" i="1"/>
  <c r="F521" i="1"/>
  <c r="E521" i="1"/>
  <c r="G520" i="1"/>
  <c r="F520" i="1"/>
  <c r="E520" i="1"/>
  <c r="G519" i="1"/>
  <c r="F519" i="1"/>
  <c r="E519" i="1"/>
  <c r="G518" i="1"/>
  <c r="F518" i="1"/>
  <c r="E518" i="1"/>
  <c r="G517" i="1"/>
  <c r="F517" i="1"/>
  <c r="E517" i="1"/>
  <c r="G516" i="1"/>
  <c r="F516" i="1"/>
  <c r="E516" i="1"/>
  <c r="G515" i="1"/>
  <c r="F515" i="1"/>
  <c r="E515" i="1"/>
  <c r="G514" i="1"/>
  <c r="F514" i="1"/>
  <c r="E514" i="1"/>
  <c r="G513" i="1"/>
  <c r="F513" i="1"/>
  <c r="E513" i="1"/>
  <c r="G512" i="1"/>
  <c r="F512" i="1"/>
  <c r="E512" i="1"/>
  <c r="G511" i="1"/>
  <c r="F511" i="1"/>
  <c r="E511" i="1"/>
  <c r="G510" i="1"/>
  <c r="F510" i="1"/>
  <c r="E510" i="1"/>
  <c r="G509" i="1"/>
  <c r="F509" i="1"/>
  <c r="E509" i="1"/>
  <c r="G508" i="1"/>
  <c r="F508" i="1"/>
  <c r="E508" i="1"/>
  <c r="G507" i="1"/>
  <c r="F507" i="1"/>
  <c r="E507" i="1"/>
  <c r="G506" i="1"/>
  <c r="F506" i="1"/>
  <c r="E506" i="1"/>
  <c r="G505" i="1"/>
  <c r="F505" i="1"/>
  <c r="E505" i="1"/>
  <c r="G504" i="1"/>
  <c r="F504" i="1"/>
  <c r="E504" i="1"/>
  <c r="G503" i="1"/>
  <c r="F503" i="1"/>
  <c r="E503" i="1"/>
  <c r="G502" i="1"/>
  <c r="F502" i="1"/>
  <c r="E502" i="1"/>
  <c r="G501" i="1"/>
  <c r="F501" i="1"/>
  <c r="E501" i="1"/>
  <c r="G500" i="1"/>
  <c r="F500" i="1"/>
  <c r="E500" i="1"/>
  <c r="G499" i="1"/>
  <c r="F499" i="1"/>
  <c r="E499" i="1"/>
  <c r="G498" i="1"/>
  <c r="F498" i="1"/>
  <c r="E498" i="1"/>
  <c r="G497" i="1"/>
  <c r="F497" i="1"/>
  <c r="E497" i="1"/>
  <c r="G496" i="1"/>
  <c r="F496" i="1"/>
  <c r="E496" i="1"/>
  <c r="G495" i="1"/>
  <c r="F495" i="1"/>
  <c r="E495" i="1"/>
  <c r="G494" i="1"/>
  <c r="F494" i="1"/>
  <c r="E494" i="1"/>
  <c r="G493" i="1"/>
  <c r="F493" i="1"/>
  <c r="E493" i="1"/>
  <c r="G492" i="1"/>
  <c r="F492" i="1"/>
  <c r="E492" i="1"/>
  <c r="G491" i="1"/>
  <c r="F491" i="1"/>
  <c r="E491" i="1"/>
  <c r="G490" i="1"/>
  <c r="F490" i="1"/>
  <c r="E490" i="1"/>
  <c r="G489" i="1"/>
  <c r="F489" i="1"/>
  <c r="E489" i="1"/>
  <c r="G488" i="1"/>
  <c r="F488" i="1"/>
  <c r="E488" i="1"/>
  <c r="G487" i="1"/>
  <c r="F487" i="1"/>
  <c r="E487" i="1"/>
  <c r="G486" i="1"/>
  <c r="F486" i="1"/>
  <c r="E486" i="1"/>
  <c r="G485" i="1"/>
  <c r="F485" i="1"/>
  <c r="E485" i="1"/>
  <c r="G484" i="1"/>
  <c r="F484" i="1"/>
  <c r="E484" i="1"/>
  <c r="G483" i="1"/>
  <c r="F483" i="1"/>
  <c r="E483" i="1"/>
  <c r="G482" i="1"/>
  <c r="F482" i="1"/>
  <c r="E482" i="1"/>
  <c r="G481" i="1"/>
  <c r="F481" i="1"/>
  <c r="E481" i="1"/>
  <c r="G480" i="1"/>
  <c r="F480" i="1"/>
  <c r="E480" i="1"/>
  <c r="G479" i="1"/>
  <c r="F479" i="1"/>
  <c r="E479" i="1"/>
  <c r="G478" i="1"/>
  <c r="F478" i="1"/>
  <c r="E478" i="1"/>
  <c r="G477" i="1"/>
  <c r="F477" i="1"/>
  <c r="E477" i="1"/>
  <c r="G476" i="1"/>
  <c r="F476" i="1"/>
  <c r="E476" i="1"/>
  <c r="G475" i="1"/>
  <c r="F475" i="1"/>
  <c r="E475" i="1"/>
  <c r="G474" i="1"/>
  <c r="F474" i="1"/>
  <c r="E474" i="1"/>
  <c r="G473" i="1"/>
  <c r="F473" i="1"/>
  <c r="E473" i="1"/>
  <c r="G472" i="1"/>
  <c r="F472" i="1"/>
  <c r="E472" i="1"/>
  <c r="G471" i="1"/>
  <c r="F471" i="1"/>
  <c r="E471" i="1"/>
  <c r="G470" i="1"/>
  <c r="F470" i="1"/>
  <c r="E470" i="1"/>
  <c r="G469" i="1"/>
  <c r="F469" i="1"/>
  <c r="E469" i="1"/>
  <c r="G468" i="1"/>
  <c r="F468" i="1"/>
  <c r="E468" i="1"/>
  <c r="G467" i="1"/>
  <c r="F467" i="1"/>
  <c r="E467" i="1"/>
  <c r="G466" i="1"/>
  <c r="F466" i="1"/>
  <c r="E466" i="1"/>
  <c r="G465" i="1"/>
  <c r="F465" i="1"/>
  <c r="E465" i="1"/>
  <c r="G464" i="1"/>
  <c r="F464" i="1"/>
  <c r="E464" i="1"/>
  <c r="G463" i="1"/>
  <c r="F463" i="1"/>
  <c r="E463" i="1"/>
  <c r="G462" i="1"/>
  <c r="F462" i="1"/>
  <c r="E462" i="1"/>
  <c r="G461" i="1"/>
  <c r="F461" i="1"/>
  <c r="E461" i="1"/>
  <c r="G460" i="1"/>
  <c r="F460" i="1"/>
  <c r="E460" i="1"/>
  <c r="G459" i="1"/>
  <c r="F459" i="1"/>
  <c r="E459" i="1"/>
  <c r="G458" i="1"/>
  <c r="F458" i="1"/>
  <c r="E458" i="1"/>
  <c r="G457" i="1"/>
  <c r="F457" i="1"/>
  <c r="E457" i="1"/>
  <c r="G456" i="1"/>
  <c r="F456" i="1"/>
  <c r="E456" i="1"/>
  <c r="G455" i="1"/>
  <c r="F455" i="1"/>
  <c r="E455" i="1"/>
  <c r="G454" i="1"/>
  <c r="F454" i="1"/>
  <c r="E454" i="1"/>
  <c r="G453" i="1"/>
  <c r="F453" i="1"/>
  <c r="E453" i="1"/>
  <c r="G452" i="1"/>
  <c r="F452" i="1"/>
  <c r="E452" i="1"/>
  <c r="G451" i="1"/>
  <c r="F451" i="1"/>
  <c r="E451" i="1"/>
  <c r="G450" i="1"/>
  <c r="F450" i="1"/>
  <c r="E450" i="1"/>
  <c r="G449" i="1"/>
  <c r="F449" i="1"/>
  <c r="E449" i="1"/>
  <c r="G448" i="1"/>
  <c r="F448" i="1"/>
  <c r="E448" i="1"/>
  <c r="G447" i="1"/>
  <c r="F447" i="1"/>
  <c r="E447" i="1"/>
  <c r="G446" i="1"/>
  <c r="F446" i="1"/>
  <c r="E446" i="1"/>
  <c r="G445" i="1"/>
  <c r="F445" i="1"/>
  <c r="E445" i="1"/>
  <c r="G444" i="1"/>
  <c r="F444" i="1"/>
  <c r="E444" i="1"/>
  <c r="G443" i="1"/>
  <c r="F443" i="1"/>
  <c r="E443" i="1"/>
  <c r="G442" i="1"/>
  <c r="F442" i="1"/>
  <c r="E442" i="1"/>
  <c r="G441" i="1"/>
  <c r="F441" i="1"/>
  <c r="E441" i="1"/>
  <c r="G440" i="1"/>
  <c r="F440" i="1"/>
  <c r="E440" i="1"/>
  <c r="G439" i="1"/>
  <c r="F439" i="1"/>
  <c r="E439" i="1"/>
  <c r="G438" i="1"/>
  <c r="F438" i="1"/>
  <c r="E438" i="1"/>
  <c r="G437" i="1"/>
  <c r="F437" i="1"/>
  <c r="E437" i="1"/>
  <c r="G436" i="1"/>
  <c r="F436" i="1"/>
  <c r="E436" i="1"/>
  <c r="G435" i="1"/>
  <c r="F435" i="1"/>
  <c r="E435" i="1"/>
  <c r="G434" i="1"/>
  <c r="F434" i="1"/>
  <c r="E434" i="1"/>
  <c r="G433" i="1"/>
  <c r="F433" i="1"/>
  <c r="E433" i="1"/>
  <c r="G432" i="1"/>
  <c r="F432" i="1"/>
  <c r="E432" i="1"/>
  <c r="G431" i="1"/>
  <c r="F431" i="1"/>
  <c r="E431" i="1"/>
  <c r="G430" i="1"/>
  <c r="F430" i="1"/>
  <c r="E430" i="1"/>
  <c r="G429" i="1"/>
  <c r="F429" i="1"/>
  <c r="E429" i="1"/>
  <c r="G428" i="1"/>
  <c r="F428" i="1"/>
  <c r="E428" i="1"/>
  <c r="G427" i="1"/>
  <c r="F427" i="1"/>
  <c r="E427" i="1"/>
  <c r="G426" i="1"/>
  <c r="F426" i="1"/>
  <c r="E426" i="1"/>
  <c r="G425" i="1"/>
  <c r="F425" i="1"/>
  <c r="E425" i="1"/>
  <c r="G424" i="1"/>
  <c r="F424" i="1"/>
  <c r="E424" i="1"/>
  <c r="G423" i="1"/>
  <c r="F423" i="1"/>
  <c r="E423" i="1"/>
  <c r="G422" i="1"/>
  <c r="F422" i="1"/>
  <c r="E422" i="1"/>
  <c r="G421" i="1"/>
  <c r="F421" i="1"/>
  <c r="E421" i="1"/>
  <c r="G420" i="1"/>
  <c r="F420" i="1"/>
  <c r="E420" i="1"/>
  <c r="G419" i="1"/>
  <c r="F419" i="1"/>
  <c r="E419" i="1"/>
  <c r="G418" i="1"/>
  <c r="F418" i="1"/>
  <c r="E418" i="1"/>
  <c r="G417" i="1"/>
  <c r="F417" i="1"/>
  <c r="E417" i="1"/>
  <c r="G416" i="1"/>
  <c r="F416" i="1"/>
  <c r="E416" i="1"/>
  <c r="G415" i="1"/>
  <c r="F415" i="1"/>
  <c r="E415" i="1"/>
  <c r="G414" i="1"/>
  <c r="F414" i="1"/>
  <c r="E414" i="1"/>
  <c r="G413" i="1"/>
  <c r="F413" i="1"/>
  <c r="E413" i="1"/>
  <c r="G412" i="1"/>
  <c r="F412" i="1"/>
  <c r="E412" i="1"/>
  <c r="G411" i="1"/>
  <c r="F411" i="1"/>
  <c r="E411" i="1"/>
  <c r="G410" i="1"/>
  <c r="F410" i="1"/>
  <c r="E410" i="1"/>
  <c r="G409" i="1"/>
  <c r="F409" i="1"/>
  <c r="E409" i="1"/>
  <c r="G408" i="1"/>
  <c r="F408" i="1"/>
  <c r="E408" i="1"/>
  <c r="G407" i="1"/>
  <c r="F407" i="1"/>
  <c r="E407" i="1"/>
  <c r="G406" i="1"/>
  <c r="F406" i="1"/>
  <c r="E406" i="1"/>
  <c r="G405" i="1"/>
  <c r="F405" i="1"/>
  <c r="E405" i="1"/>
  <c r="G404" i="1"/>
  <c r="F404" i="1"/>
  <c r="E404" i="1"/>
  <c r="G403" i="1"/>
  <c r="F403" i="1"/>
  <c r="E403" i="1"/>
  <c r="G402" i="1"/>
  <c r="F402" i="1"/>
  <c r="E402" i="1"/>
  <c r="G401" i="1"/>
  <c r="F401" i="1"/>
  <c r="E401" i="1"/>
  <c r="G400" i="1"/>
  <c r="F400" i="1"/>
  <c r="E400" i="1"/>
  <c r="G399" i="1"/>
  <c r="F399" i="1"/>
  <c r="E399" i="1"/>
  <c r="G398" i="1"/>
  <c r="F398" i="1"/>
  <c r="E398" i="1"/>
  <c r="G397" i="1"/>
  <c r="F397" i="1"/>
  <c r="E397" i="1"/>
  <c r="G396" i="1"/>
  <c r="F396" i="1"/>
  <c r="E396" i="1"/>
  <c r="G395" i="1"/>
  <c r="F395" i="1"/>
  <c r="E395" i="1"/>
  <c r="G394" i="1"/>
  <c r="F394" i="1"/>
  <c r="E394" i="1"/>
  <c r="G393" i="1"/>
  <c r="F393" i="1"/>
  <c r="E393" i="1"/>
  <c r="G392" i="1"/>
  <c r="F392" i="1"/>
  <c r="E392" i="1"/>
  <c r="G391" i="1"/>
  <c r="F391" i="1"/>
  <c r="E391" i="1"/>
  <c r="G390" i="1"/>
  <c r="F390" i="1"/>
  <c r="E390" i="1"/>
  <c r="G389" i="1"/>
  <c r="F389" i="1"/>
  <c r="E389" i="1"/>
  <c r="G388" i="1"/>
  <c r="F388" i="1"/>
  <c r="E388" i="1"/>
  <c r="G387" i="1"/>
  <c r="F387" i="1"/>
  <c r="E387" i="1"/>
  <c r="G386" i="1"/>
  <c r="F386" i="1"/>
  <c r="E386" i="1"/>
  <c r="G385" i="1"/>
  <c r="F385" i="1"/>
  <c r="E385" i="1"/>
  <c r="G384" i="1"/>
  <c r="F384" i="1"/>
  <c r="E384" i="1"/>
  <c r="G383" i="1"/>
  <c r="F383" i="1"/>
  <c r="E383" i="1"/>
  <c r="G382" i="1"/>
  <c r="F382" i="1"/>
  <c r="E382" i="1"/>
  <c r="G381" i="1"/>
  <c r="F381" i="1"/>
  <c r="E381" i="1"/>
  <c r="G380" i="1"/>
  <c r="F380" i="1"/>
  <c r="E380" i="1"/>
  <c r="G379" i="1"/>
  <c r="F379" i="1"/>
  <c r="E379" i="1"/>
  <c r="G378" i="1"/>
  <c r="F378" i="1"/>
  <c r="E378" i="1"/>
  <c r="G377" i="1"/>
  <c r="F377" i="1"/>
  <c r="E377" i="1"/>
  <c r="G376" i="1"/>
  <c r="F376" i="1"/>
  <c r="E376" i="1"/>
  <c r="G375" i="1"/>
  <c r="F375" i="1"/>
  <c r="E375" i="1"/>
  <c r="G374" i="1"/>
  <c r="F374" i="1"/>
  <c r="E374" i="1"/>
  <c r="G373" i="1"/>
  <c r="F373" i="1"/>
  <c r="E373" i="1"/>
  <c r="G372" i="1"/>
  <c r="F372" i="1"/>
  <c r="E372" i="1"/>
  <c r="G371" i="1"/>
  <c r="F371" i="1"/>
  <c r="E371" i="1"/>
  <c r="G370" i="1"/>
  <c r="F370" i="1"/>
  <c r="E370" i="1"/>
  <c r="G369" i="1"/>
  <c r="F369" i="1"/>
  <c r="E369" i="1"/>
  <c r="G368" i="1"/>
  <c r="F368" i="1"/>
  <c r="E368" i="1"/>
  <c r="G367" i="1"/>
  <c r="F367" i="1"/>
  <c r="E367" i="1"/>
  <c r="G366" i="1"/>
  <c r="F366" i="1"/>
  <c r="E366" i="1"/>
  <c r="G365" i="1"/>
  <c r="F365" i="1"/>
  <c r="E365" i="1"/>
  <c r="G364" i="1"/>
  <c r="F364" i="1"/>
  <c r="E364" i="1"/>
  <c r="G363" i="1"/>
  <c r="F363" i="1"/>
  <c r="E363" i="1"/>
  <c r="G362" i="1"/>
  <c r="F362" i="1"/>
  <c r="E362" i="1"/>
  <c r="G361" i="1"/>
  <c r="F361" i="1"/>
  <c r="E361" i="1"/>
  <c r="G360" i="1"/>
  <c r="F360" i="1"/>
  <c r="E360" i="1"/>
  <c r="G359" i="1"/>
  <c r="F359" i="1"/>
  <c r="E359" i="1"/>
  <c r="G358" i="1"/>
  <c r="F358" i="1"/>
  <c r="E358" i="1"/>
  <c r="G357" i="1"/>
  <c r="F357" i="1"/>
  <c r="E357" i="1"/>
  <c r="G356" i="1"/>
  <c r="F356" i="1"/>
  <c r="E356" i="1"/>
  <c r="G355" i="1"/>
  <c r="F355" i="1"/>
  <c r="E355" i="1"/>
  <c r="G354" i="1"/>
  <c r="F354" i="1"/>
  <c r="E354" i="1"/>
  <c r="G353" i="1"/>
  <c r="F353" i="1"/>
  <c r="E353" i="1"/>
  <c r="G352" i="1"/>
  <c r="F352" i="1"/>
  <c r="E352" i="1"/>
  <c r="G351" i="1"/>
  <c r="F351" i="1"/>
  <c r="E351" i="1"/>
  <c r="G350" i="1"/>
  <c r="F350" i="1"/>
  <c r="E350" i="1"/>
  <c r="G349" i="1"/>
  <c r="F349" i="1"/>
  <c r="E349" i="1"/>
  <c r="G348" i="1"/>
  <c r="F348" i="1"/>
  <c r="E348" i="1"/>
  <c r="G347" i="1"/>
  <c r="F347" i="1"/>
  <c r="E347" i="1"/>
  <c r="G346" i="1"/>
  <c r="F346" i="1"/>
  <c r="E346" i="1"/>
  <c r="G345" i="1"/>
  <c r="F345" i="1"/>
  <c r="E345" i="1"/>
  <c r="G344" i="1"/>
  <c r="F344" i="1"/>
  <c r="E344" i="1"/>
  <c r="G343" i="1"/>
  <c r="F343" i="1"/>
  <c r="E343" i="1"/>
  <c r="G342" i="1"/>
  <c r="F342" i="1"/>
  <c r="E342" i="1"/>
  <c r="G341" i="1"/>
  <c r="F341" i="1"/>
  <c r="E341" i="1"/>
  <c r="G340" i="1"/>
  <c r="F340" i="1"/>
  <c r="E340" i="1"/>
  <c r="G339" i="1"/>
  <c r="F339" i="1"/>
  <c r="E339" i="1"/>
  <c r="G338" i="1"/>
  <c r="F338" i="1"/>
  <c r="E338" i="1"/>
  <c r="G337" i="1"/>
  <c r="F337" i="1"/>
  <c r="E337" i="1"/>
  <c r="G336" i="1"/>
  <c r="F336" i="1"/>
  <c r="E336" i="1"/>
  <c r="G335" i="1"/>
  <c r="F335" i="1"/>
  <c r="E335" i="1"/>
  <c r="G334" i="1"/>
  <c r="F334" i="1"/>
  <c r="E334" i="1"/>
  <c r="G333" i="1"/>
  <c r="F333" i="1"/>
  <c r="E333" i="1"/>
  <c r="G332" i="1"/>
  <c r="F332" i="1"/>
  <c r="E332" i="1"/>
  <c r="G331" i="1"/>
  <c r="F331" i="1"/>
  <c r="E331" i="1"/>
  <c r="G330" i="1"/>
  <c r="F330" i="1"/>
  <c r="E330" i="1"/>
  <c r="G329" i="1"/>
  <c r="F329" i="1"/>
  <c r="E329" i="1"/>
  <c r="G328" i="1"/>
  <c r="F328" i="1"/>
  <c r="E328" i="1"/>
  <c r="G327" i="1"/>
  <c r="F327" i="1"/>
  <c r="E327" i="1"/>
  <c r="G326" i="1"/>
  <c r="F326" i="1"/>
  <c r="E326" i="1"/>
  <c r="G325" i="1"/>
  <c r="F325" i="1"/>
  <c r="E325" i="1"/>
  <c r="G324" i="1"/>
  <c r="F324" i="1"/>
  <c r="E324" i="1"/>
  <c r="G323" i="1"/>
  <c r="F323" i="1"/>
  <c r="E323" i="1"/>
  <c r="G322" i="1"/>
  <c r="F322" i="1"/>
  <c r="E322" i="1"/>
  <c r="G321" i="1"/>
  <c r="F321" i="1"/>
  <c r="E321" i="1"/>
  <c r="G320" i="1"/>
  <c r="F320" i="1"/>
  <c r="E320" i="1"/>
  <c r="G319" i="1"/>
  <c r="F319" i="1"/>
  <c r="E319" i="1"/>
  <c r="G318" i="1"/>
  <c r="F318" i="1"/>
  <c r="E318" i="1"/>
  <c r="G317" i="1"/>
  <c r="F317" i="1"/>
  <c r="E317" i="1"/>
  <c r="G316" i="1"/>
  <c r="F316" i="1"/>
  <c r="E316" i="1"/>
  <c r="G315" i="1"/>
  <c r="F315" i="1"/>
  <c r="E315" i="1"/>
  <c r="G314" i="1"/>
  <c r="F314" i="1"/>
  <c r="E314" i="1"/>
  <c r="G313" i="1"/>
  <c r="F313" i="1"/>
  <c r="E313" i="1"/>
  <c r="G312" i="1"/>
  <c r="F312" i="1"/>
  <c r="E312" i="1"/>
  <c r="G311" i="1"/>
  <c r="F311" i="1"/>
  <c r="E311" i="1"/>
  <c r="G310" i="1"/>
  <c r="F310" i="1"/>
  <c r="E310" i="1"/>
  <c r="G309" i="1"/>
  <c r="F309" i="1"/>
  <c r="E309" i="1"/>
  <c r="G308" i="1"/>
  <c r="F308" i="1"/>
  <c r="E308" i="1"/>
  <c r="G307" i="1"/>
  <c r="F307" i="1"/>
  <c r="E307" i="1"/>
  <c r="G306" i="1"/>
  <c r="F306" i="1"/>
  <c r="E306" i="1"/>
  <c r="G305" i="1"/>
  <c r="F305" i="1"/>
  <c r="E305" i="1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R41" i="1"/>
  <c r="Q41" i="1"/>
  <c r="P41" i="1"/>
  <c r="S41" i="1" s="1" a="1"/>
  <c r="S41" i="1" s="1"/>
  <c r="G41" i="1"/>
  <c r="F41" i="1"/>
  <c r="E41" i="1"/>
  <c r="R40" i="1"/>
  <c r="Q40" i="1"/>
  <c r="P40" i="1"/>
  <c r="S40" i="1" s="1" a="1"/>
  <c r="S40" i="1" s="1"/>
  <c r="G40" i="1"/>
  <c r="F40" i="1"/>
  <c r="E40" i="1"/>
  <c r="R39" i="1"/>
  <c r="Q39" i="1"/>
  <c r="P39" i="1"/>
  <c r="S37" i="1" s="1" a="1"/>
  <c r="S37" i="1" s="1"/>
  <c r="G39" i="1"/>
  <c r="F39" i="1"/>
  <c r="E39" i="1"/>
  <c r="R38" i="1"/>
  <c r="Q38" i="1"/>
  <c r="P38" i="1"/>
  <c r="G38" i="1"/>
  <c r="F38" i="1"/>
  <c r="E38" i="1"/>
  <c r="R37" i="1"/>
  <c r="Q37" i="1"/>
  <c r="P37" i="1"/>
  <c r="G37" i="1"/>
  <c r="F37" i="1"/>
  <c r="E37" i="1"/>
  <c r="R36" i="1"/>
  <c r="Q36" i="1"/>
  <c r="P36" i="1"/>
  <c r="S36" i="1" s="1" a="1"/>
  <c r="S36" i="1" s="1"/>
  <c r="G36" i="1"/>
  <c r="F36" i="1"/>
  <c r="E36" i="1"/>
  <c r="R35" i="1"/>
  <c r="Q35" i="1"/>
  <c r="P35" i="1"/>
  <c r="S35" i="1" s="1" a="1"/>
  <c r="S35" i="1" s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R30" i="1"/>
  <c r="Q30" i="1"/>
  <c r="P30" i="1"/>
  <c r="S28" i="1" s="1" a="1"/>
  <c r="S28" i="1" s="1"/>
  <c r="G30" i="1"/>
  <c r="F30" i="1"/>
  <c r="E30" i="1"/>
  <c r="R29" i="1"/>
  <c r="Q29" i="1"/>
  <c r="P29" i="1"/>
  <c r="S29" i="1" s="1" a="1"/>
  <c r="S29" i="1" s="1"/>
  <c r="G29" i="1"/>
  <c r="F29" i="1"/>
  <c r="E29" i="1"/>
  <c r="R28" i="1"/>
  <c r="Q28" i="1"/>
  <c r="P28" i="1"/>
  <c r="G28" i="1"/>
  <c r="F28" i="1"/>
  <c r="E28" i="1"/>
  <c r="R27" i="1"/>
  <c r="Q27" i="1"/>
  <c r="P27" i="1"/>
  <c r="S27" i="1" s="1" a="1"/>
  <c r="S27" i="1" s="1"/>
  <c r="G27" i="1"/>
  <c r="F27" i="1"/>
  <c r="E27" i="1"/>
  <c r="S26" i="1" a="1"/>
  <c r="S26" i="1" s="1"/>
  <c r="R26" i="1"/>
  <c r="Q26" i="1"/>
  <c r="P26" i="1"/>
  <c r="G26" i="1"/>
  <c r="F26" i="1"/>
  <c r="E26" i="1"/>
  <c r="R25" i="1"/>
  <c r="Q25" i="1"/>
  <c r="P25" i="1"/>
  <c r="S25" i="1" s="1" a="1"/>
  <c r="S25" i="1" s="1"/>
  <c r="G25" i="1"/>
  <c r="F25" i="1"/>
  <c r="E25" i="1"/>
  <c r="R24" i="1"/>
  <c r="Q24" i="1"/>
  <c r="P24" i="1"/>
  <c r="S24" i="1" s="1" a="1"/>
  <c r="S24" i="1" s="1"/>
  <c r="G24" i="1"/>
  <c r="F24" i="1"/>
  <c r="E24" i="1"/>
  <c r="G23" i="1"/>
  <c r="F23" i="1"/>
  <c r="E23" i="1"/>
  <c r="G22" i="1"/>
  <c r="F22" i="1"/>
  <c r="E22" i="1"/>
  <c r="G21" i="1"/>
  <c r="F21" i="1"/>
  <c r="E21" i="1"/>
  <c r="R20" i="1"/>
  <c r="Q20" i="1"/>
  <c r="P20" i="1"/>
  <c r="G20" i="1"/>
  <c r="F20" i="1"/>
  <c r="E20" i="1"/>
  <c r="R19" i="1"/>
  <c r="Q19" i="1"/>
  <c r="P19" i="1"/>
  <c r="G19" i="1"/>
  <c r="F19" i="1"/>
  <c r="E19" i="1"/>
  <c r="R18" i="1"/>
  <c r="Q18" i="1"/>
  <c r="P18" i="1"/>
  <c r="S18" i="1" s="1" a="1"/>
  <c r="S18" i="1" s="1"/>
  <c r="G18" i="1"/>
  <c r="F18" i="1"/>
  <c r="E18" i="1"/>
  <c r="R17" i="1"/>
  <c r="Q17" i="1"/>
  <c r="P17" i="1"/>
  <c r="G17" i="1"/>
  <c r="F17" i="1"/>
  <c r="E17" i="1"/>
  <c r="R16" i="1"/>
  <c r="Q16" i="1"/>
  <c r="P16" i="1"/>
  <c r="G16" i="1"/>
  <c r="F16" i="1"/>
  <c r="E16" i="1"/>
  <c r="R15" i="1"/>
  <c r="Q15" i="1"/>
  <c r="P15" i="1"/>
  <c r="G15" i="1"/>
  <c r="F15" i="1"/>
  <c r="E15" i="1"/>
  <c r="R14" i="1"/>
  <c r="Q14" i="1"/>
  <c r="P14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R9" i="1"/>
  <c r="Q9" i="1"/>
  <c r="P9" i="1"/>
  <c r="K9" i="1"/>
  <c r="J9" i="1"/>
  <c r="G9" i="1"/>
  <c r="F9" i="1"/>
  <c r="E9" i="1"/>
  <c r="R8" i="1"/>
  <c r="Q8" i="1"/>
  <c r="P8" i="1"/>
  <c r="S8" i="1" s="1" a="1"/>
  <c r="S8" i="1" s="1"/>
  <c r="L8" i="1"/>
  <c r="J8" i="1"/>
  <c r="G8" i="1"/>
  <c r="F8" i="1"/>
  <c r="E8" i="1"/>
  <c r="R7" i="1"/>
  <c r="Q7" i="1"/>
  <c r="P7" i="1"/>
  <c r="L7" i="1"/>
  <c r="K7" i="1"/>
  <c r="G7" i="1"/>
  <c r="F7" i="1"/>
  <c r="E7" i="1"/>
  <c r="R6" i="1"/>
  <c r="Q6" i="1"/>
  <c r="P6" i="1"/>
  <c r="G6" i="1"/>
  <c r="L9" i="1" s="1"/>
  <c r="F6" i="1"/>
  <c r="E6" i="1"/>
  <c r="R5" i="1"/>
  <c r="Q5" i="1"/>
  <c r="P5" i="1"/>
  <c r="G5" i="1"/>
  <c r="F5" i="1"/>
  <c r="E5" i="1"/>
  <c r="R4" i="1"/>
  <c r="Q4" i="1"/>
  <c r="P4" i="1"/>
  <c r="G4" i="1"/>
  <c r="F4" i="1"/>
  <c r="K8" i="1" s="1"/>
  <c r="E4" i="1"/>
  <c r="R3" i="1"/>
  <c r="Q3" i="1"/>
  <c r="P3" i="1"/>
  <c r="G3" i="1"/>
  <c r="K3" i="1" s="1"/>
  <c r="F3" i="1"/>
  <c r="J3" i="1" s="1"/>
  <c r="E3" i="1"/>
  <c r="I3" i="1" s="1"/>
  <c r="S16" i="1" l="1" a="1"/>
  <c r="S16" i="1" s="1"/>
  <c r="S39" i="1" a="1"/>
  <c r="S39" i="1" s="1"/>
  <c r="S20" i="1" a="1"/>
  <c r="S20" i="1" s="1"/>
  <c r="S30" i="1" a="1"/>
  <c r="S30" i="1" s="1"/>
  <c r="T27" i="1" s="1" a="1"/>
  <c r="T27" i="1" s="1"/>
  <c r="S38" i="1" a="1"/>
  <c r="S38" i="1" s="1"/>
  <c r="T38" i="1" s="1" a="1"/>
  <c r="T38" i="1" s="1"/>
  <c r="U38" i="1" s="1" a="1"/>
  <c r="U38" i="1" s="1"/>
  <c r="S6" i="1" a="1"/>
  <c r="S6" i="1" s="1"/>
  <c r="V6" i="1" s="1"/>
  <c r="S9" i="1" a="1"/>
  <c r="S9" i="1" s="1"/>
  <c r="S17" i="1" a="1"/>
  <c r="S17" i="1" s="1"/>
  <c r="T17" i="1" s="1" a="1"/>
  <c r="T17" i="1" s="1"/>
  <c r="U17" i="1" s="1" a="1"/>
  <c r="U17" i="1" s="1"/>
  <c r="S19" i="1" a="1"/>
  <c r="S19" i="1" s="1"/>
  <c r="T19" i="1" a="1"/>
  <c r="T19" i="1" s="1"/>
  <c r="V9" i="1"/>
  <c r="V8" i="1"/>
  <c r="T39" i="1" a="1"/>
  <c r="T39" i="1" s="1"/>
  <c r="T30" i="1" a="1"/>
  <c r="T30" i="1" s="1"/>
  <c r="T20" i="1" a="1"/>
  <c r="T20" i="1" s="1"/>
  <c r="T25" i="1" a="1"/>
  <c r="T25" i="1" s="1"/>
  <c r="T41" i="1" a="1"/>
  <c r="T41" i="1" s="1"/>
  <c r="U41" i="1" s="1" a="1"/>
  <c r="U41" i="1" s="1"/>
  <c r="T36" i="1" a="1"/>
  <c r="T36" i="1" s="1"/>
  <c r="T24" i="1" a="1"/>
  <c r="T24" i="1" s="1"/>
  <c r="T40" i="1" a="1"/>
  <c r="T40" i="1" s="1"/>
  <c r="U40" i="1" s="1" a="1"/>
  <c r="U40" i="1" s="1"/>
  <c r="T35" i="1" a="1"/>
  <c r="T35" i="1" s="1"/>
  <c r="S5" i="1" a="1"/>
  <c r="S5" i="1" s="1"/>
  <c r="S7" i="1" a="1"/>
  <c r="S7" i="1" s="1"/>
  <c r="T7" i="1" s="1" a="1"/>
  <c r="T7" i="1" s="1"/>
  <c r="W7" i="1" s="1"/>
  <c r="T18" i="1" a="1"/>
  <c r="T18" i="1" s="1"/>
  <c r="S4" i="1" a="1"/>
  <c r="S4" i="1" s="1"/>
  <c r="V4" i="1" s="1"/>
  <c r="J7" i="1"/>
  <c r="T5" i="1" l="1" a="1"/>
  <c r="T5" i="1" s="1"/>
  <c r="W5" i="1" s="1"/>
  <c r="T16" i="1" a="1"/>
  <c r="T16" i="1" s="1"/>
  <c r="U16" i="1" s="1" a="1"/>
  <c r="U16" i="1" s="1"/>
  <c r="U39" i="1" a="1"/>
  <c r="U39" i="1" s="1"/>
  <c r="T29" i="1" a="1"/>
  <c r="T29" i="1" s="1"/>
  <c r="U29" i="1" s="1" a="1"/>
  <c r="U29" i="1" s="1"/>
  <c r="T28" i="1" a="1"/>
  <c r="T28" i="1" s="1"/>
  <c r="U28" i="1" s="1" a="1"/>
  <c r="U28" i="1" s="1"/>
  <c r="T37" i="1" a="1"/>
  <c r="T37" i="1" s="1"/>
  <c r="U36" i="1" s="1" a="1"/>
  <c r="U36" i="1" s="1"/>
  <c r="U19" i="1" a="1"/>
  <c r="U19" i="1" s="1"/>
  <c r="T26" i="1" a="1"/>
  <c r="T26" i="1" s="1"/>
  <c r="U26" i="1" s="1" a="1"/>
  <c r="U26" i="1" s="1"/>
  <c r="U30" i="1" a="1"/>
  <c r="U30" i="1" s="1"/>
  <c r="V5" i="1"/>
  <c r="I17" i="1"/>
  <c r="S3" i="1" a="1"/>
  <c r="S3" i="1" s="1"/>
  <c r="V7" i="1"/>
  <c r="T6" i="1" a="1"/>
  <c r="T6" i="1" s="1"/>
  <c r="W6" i="1" s="1"/>
  <c r="U18" i="1" a="1"/>
  <c r="U18" i="1" s="1"/>
  <c r="T4" i="1" a="1"/>
  <c r="T4" i="1" s="1"/>
  <c r="W4" i="1" s="1"/>
  <c r="U24" i="1" l="1" a="1"/>
  <c r="U24" i="1" s="1"/>
  <c r="U37" i="1" a="1"/>
  <c r="U37" i="1" s="1"/>
  <c r="U20" i="1" a="1"/>
  <c r="U20" i="1" s="1"/>
  <c r="U35" i="1" a="1"/>
  <c r="U35" i="1" s="1"/>
  <c r="U25" i="1" a="1"/>
  <c r="U25" i="1" s="1"/>
  <c r="U27" i="1" a="1"/>
  <c r="U27" i="1" s="1"/>
  <c r="T3" i="1" a="1"/>
  <c r="T3" i="1" s="1"/>
  <c r="W3" i="1" s="1"/>
  <c r="V3" i="1"/>
  <c r="I18" i="1"/>
  <c r="J18" i="1" s="1"/>
  <c r="I19" i="1"/>
  <c r="J19" i="1" l="1"/>
  <c r="K19" i="1"/>
  <c r="S14" i="1" a="1"/>
  <c r="S14" i="1" s="1"/>
  <c r="T8" i="1" l="1" a="1"/>
  <c r="T8" i="1" s="1"/>
  <c r="S15" i="1" a="1"/>
  <c r="S15" i="1" s="1"/>
  <c r="T15" i="1" s="1" a="1"/>
  <c r="T15" i="1" s="1"/>
  <c r="U15" i="1" l="1" a="1"/>
  <c r="U15" i="1" s="1"/>
  <c r="T14" i="1" a="1"/>
  <c r="T14" i="1" s="1"/>
  <c r="T9" i="1" a="1"/>
  <c r="T9" i="1" s="1"/>
  <c r="W9" i="1" s="1"/>
  <c r="W8" i="1"/>
  <c r="U4" i="1" a="1"/>
  <c r="U4" i="1" s="1"/>
  <c r="X4" i="1" s="1"/>
  <c r="Y4" i="1" s="1"/>
  <c r="Z4" i="1" s="1"/>
  <c r="U8" i="1" a="1"/>
  <c r="U8" i="1" s="1"/>
  <c r="X8" i="1" s="1"/>
  <c r="U14" i="1" a="1"/>
  <c r="U14" i="1" s="1"/>
  <c r="U5" i="1" l="1" a="1"/>
  <c r="U5" i="1" s="1"/>
  <c r="X5" i="1" s="1"/>
  <c r="Y5" i="1" s="1"/>
  <c r="Z5" i="1" s="1"/>
  <c r="U7" i="1" a="1"/>
  <c r="U7" i="1" s="1"/>
  <c r="X7" i="1" s="1"/>
  <c r="Y7" i="1" s="1"/>
  <c r="Z7" i="1" s="1"/>
  <c r="U3" i="1" a="1"/>
  <c r="U3" i="1" s="1"/>
  <c r="X3" i="1" s="1"/>
  <c r="Y3" i="1" s="1"/>
  <c r="Z3" i="1" s="1"/>
  <c r="U6" i="1" a="1"/>
  <c r="U6" i="1" s="1"/>
  <c r="X6" i="1" s="1"/>
  <c r="Y6" i="1" s="1"/>
  <c r="Z6" i="1" s="1"/>
  <c r="Y8" i="1"/>
  <c r="Z8" i="1" s="1"/>
  <c r="U9" i="1" a="1"/>
  <c r="U9" i="1" s="1"/>
  <c r="X9" i="1" s="1"/>
  <c r="Y9" i="1" s="1"/>
  <c r="Z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<sst xmlns="http://schemas.openxmlformats.org/spreadsheetml/2006/main" count="876" uniqueCount="826">
  <si>
    <t>Fecha</t>
  </si>
  <si>
    <t>MICROSOFT</t>
  </si>
  <si>
    <t>GOOGLE</t>
  </si>
  <si>
    <t>NVDI</t>
  </si>
  <si>
    <t xml:space="preserve">RENDIMEINTOS </t>
  </si>
  <si>
    <t xml:space="preserve">MEDIA </t>
  </si>
  <si>
    <t>TRAYECTORIA 1</t>
  </si>
  <si>
    <t xml:space="preserve">RENDIMIENTO SIMULADO </t>
  </si>
  <si>
    <t>26.02.2026</t>
  </si>
  <si>
    <t>APPLE</t>
  </si>
  <si>
    <t xml:space="preserve">NVDIA </t>
  </si>
  <si>
    <t xml:space="preserve">PESOS </t>
  </si>
  <si>
    <t xml:space="preserve">MICROSOFT </t>
  </si>
  <si>
    <t xml:space="preserve">NVDI </t>
  </si>
  <si>
    <t>VOL,MICROSOFT</t>
  </si>
  <si>
    <t>VOL.APPLE</t>
  </si>
  <si>
    <t>VOL.NVDI</t>
  </si>
  <si>
    <t xml:space="preserve">PONDERADO </t>
  </si>
  <si>
    <t xml:space="preserve">R. port acumulado </t>
  </si>
  <si>
    <t>25.02.2026</t>
  </si>
  <si>
    <t xml:space="preserve">MEDIA DE RENDIMIENTOS </t>
  </si>
  <si>
    <t>DIA1</t>
  </si>
  <si>
    <t>24.02.2026</t>
  </si>
  <si>
    <t>DIA2</t>
  </si>
  <si>
    <t>23.02.2026</t>
  </si>
  <si>
    <t xml:space="preserve">MATRIZ DE VARIANZAS Y COVARIANZA </t>
  </si>
  <si>
    <t>DIA3</t>
  </si>
  <si>
    <t>20.02.2026</t>
  </si>
  <si>
    <t>DIA4</t>
  </si>
  <si>
    <t>19.02.2026</t>
  </si>
  <si>
    <t xml:space="preserve">covarianzas </t>
  </si>
  <si>
    <t>DIA5</t>
  </si>
  <si>
    <t>18.02.2026</t>
  </si>
  <si>
    <t xml:space="preserve">varianzas </t>
  </si>
  <si>
    <t>DIA6</t>
  </si>
  <si>
    <t>17.02.2026</t>
  </si>
  <si>
    <t>DIA7</t>
  </si>
  <si>
    <t>13.02.2026</t>
  </si>
  <si>
    <t>12.02.2026</t>
  </si>
  <si>
    <t xml:space="preserve">L  DESCOMPOSICION DE CHOLESKY DE MATRIZ DE VAR Y COV </t>
  </si>
  <si>
    <t>11.02.2026</t>
  </si>
  <si>
    <t>.=.RAIZ(VAR,MICROSOFT)</t>
  </si>
  <si>
    <t>TRAYECTORIA 2</t>
  </si>
  <si>
    <t>10.02.2026</t>
  </si>
  <si>
    <t>.=VAR.APPLE/RAIZ(VAR.MICROSOFT)</t>
  </si>
  <si>
    <t>09.02.2026</t>
  </si>
  <si>
    <t>.=VAR.NVDI/RAIZ(VAR,MICRODOFT)</t>
  </si>
  <si>
    <t>06.02.2026</t>
  </si>
  <si>
    <t>05.02.2026</t>
  </si>
  <si>
    <t>04.02.2026</t>
  </si>
  <si>
    <t>03.02.2026</t>
  </si>
  <si>
    <t>02.02.2026</t>
  </si>
  <si>
    <t>30.01.2026</t>
  </si>
  <si>
    <t>29.01.2026</t>
  </si>
  <si>
    <t>28.01.2026</t>
  </si>
  <si>
    <t>TRAYECTORIA 3</t>
  </si>
  <si>
    <t>27.01.2026</t>
  </si>
  <si>
    <t>26.01.2026</t>
  </si>
  <si>
    <t>27.01.2027</t>
  </si>
  <si>
    <t>26.01.2027</t>
  </si>
  <si>
    <t>27.01.2028</t>
  </si>
  <si>
    <t>26.01.2028</t>
  </si>
  <si>
    <t>27.01.2029</t>
  </si>
  <si>
    <t>26.01.2029</t>
  </si>
  <si>
    <t>27.01.2030</t>
  </si>
  <si>
    <t>26.01.2030</t>
  </si>
  <si>
    <t>27.01.2031</t>
  </si>
  <si>
    <t>TRAYECTORIA 4</t>
  </si>
  <si>
    <t>26.01.2031</t>
  </si>
  <si>
    <t>27.01.2032</t>
  </si>
  <si>
    <t>26.01.2032</t>
  </si>
  <si>
    <t>27.01.2033</t>
  </si>
  <si>
    <t>26.01.2033</t>
  </si>
  <si>
    <t>27.01.2034</t>
  </si>
  <si>
    <t>26.01.2034</t>
  </si>
  <si>
    <t>27.01.2035</t>
  </si>
  <si>
    <t>26.01.2035</t>
  </si>
  <si>
    <t>27.01.2036</t>
  </si>
  <si>
    <t>26.01.2036</t>
  </si>
  <si>
    <t>27.01.2037</t>
  </si>
  <si>
    <t>26.01.2037</t>
  </si>
  <si>
    <t>27.01.2038</t>
  </si>
  <si>
    <t>26.01.2038</t>
  </si>
  <si>
    <t>27.01.2039</t>
  </si>
  <si>
    <t>26.01.2039</t>
  </si>
  <si>
    <t>27.01.2040</t>
  </si>
  <si>
    <t>26.01.2040</t>
  </si>
  <si>
    <t>27.01.2041</t>
  </si>
  <si>
    <t>26.01.2041</t>
  </si>
  <si>
    <t>27.01.2042</t>
  </si>
  <si>
    <t>26.01.2042</t>
  </si>
  <si>
    <t>27.01.2043</t>
  </si>
  <si>
    <t>26.01.2043</t>
  </si>
  <si>
    <t>27.01.2044</t>
  </si>
  <si>
    <t>26.01.2044</t>
  </si>
  <si>
    <t>27.01.2045</t>
  </si>
  <si>
    <t>26.01.2045</t>
  </si>
  <si>
    <t>27.01.2046</t>
  </si>
  <si>
    <t>26.01.2046</t>
  </si>
  <si>
    <t>27.01.2047</t>
  </si>
  <si>
    <t>26.01.2047</t>
  </si>
  <si>
    <t>27.01.2048</t>
  </si>
  <si>
    <t>26.01.2048</t>
  </si>
  <si>
    <t>27.01.2049</t>
  </si>
  <si>
    <t>26.01.2049</t>
  </si>
  <si>
    <t>27.01.2050</t>
  </si>
  <si>
    <t>26.01.2050</t>
  </si>
  <si>
    <t>27.01.2051</t>
  </si>
  <si>
    <t>26.01.2051</t>
  </si>
  <si>
    <t>27.01.2052</t>
  </si>
  <si>
    <t>26.01.2052</t>
  </si>
  <si>
    <t>27.01.2053</t>
  </si>
  <si>
    <t>26.01.2053</t>
  </si>
  <si>
    <t>27.01.2054</t>
  </si>
  <si>
    <t>26.01.2054</t>
  </si>
  <si>
    <t>27.01.2055</t>
  </si>
  <si>
    <t>26.01.2055</t>
  </si>
  <si>
    <t>27.01.2056</t>
  </si>
  <si>
    <t>26.01.2056</t>
  </si>
  <si>
    <t>27.01.2057</t>
  </si>
  <si>
    <t>26.01.2057</t>
  </si>
  <si>
    <t>27.01.2058</t>
  </si>
  <si>
    <t>26.01.2058</t>
  </si>
  <si>
    <t>27.01.2059</t>
  </si>
  <si>
    <t>26.01.2059</t>
  </si>
  <si>
    <t>27.01.2060</t>
  </si>
  <si>
    <t>26.01.2060</t>
  </si>
  <si>
    <t>27.01.2061</t>
  </si>
  <si>
    <t>26.01.2061</t>
  </si>
  <si>
    <t>27.01.2062</t>
  </si>
  <si>
    <t>26.01.2062</t>
  </si>
  <si>
    <t>27.01.2063</t>
  </si>
  <si>
    <t>26.01.2063</t>
  </si>
  <si>
    <t>27.01.2064</t>
  </si>
  <si>
    <t>26.01.2064</t>
  </si>
  <si>
    <t>27.01.2065</t>
  </si>
  <si>
    <t>26.01.2065</t>
  </si>
  <si>
    <t>27.01.2066</t>
  </si>
  <si>
    <t>26.01.2066</t>
  </si>
  <si>
    <t>27.01.2067</t>
  </si>
  <si>
    <t>26.01.2067</t>
  </si>
  <si>
    <t>27.01.2068</t>
  </si>
  <si>
    <t>26.01.2068</t>
  </si>
  <si>
    <t>27.01.2069</t>
  </si>
  <si>
    <t>26.01.2069</t>
  </si>
  <si>
    <t>27.01.2070</t>
  </si>
  <si>
    <t>26.01.2070</t>
  </si>
  <si>
    <t>27.01.2071</t>
  </si>
  <si>
    <t>26.01.2071</t>
  </si>
  <si>
    <t>27.01.2072</t>
  </si>
  <si>
    <t>26.01.2072</t>
  </si>
  <si>
    <t>27.01.2073</t>
  </si>
  <si>
    <t>26.01.2073</t>
  </si>
  <si>
    <t>27.01.2074</t>
  </si>
  <si>
    <t>26.01.2074</t>
  </si>
  <si>
    <t>27.01.2075</t>
  </si>
  <si>
    <t>26.01.2075</t>
  </si>
  <si>
    <t>27.01.2076</t>
  </si>
  <si>
    <t>26.01.2076</t>
  </si>
  <si>
    <t>27.01.2077</t>
  </si>
  <si>
    <t>26.01.2077</t>
  </si>
  <si>
    <t>27.01.2078</t>
  </si>
  <si>
    <t>26.01.2078</t>
  </si>
  <si>
    <t>27.01.2079</t>
  </si>
  <si>
    <t>26.01.2079</t>
  </si>
  <si>
    <t>27.01.2080</t>
  </si>
  <si>
    <t>26.01.2080</t>
  </si>
  <si>
    <t>27.01.2081</t>
  </si>
  <si>
    <t>26.01.2081</t>
  </si>
  <si>
    <t>27.01.2082</t>
  </si>
  <si>
    <t>26.01.2082</t>
  </si>
  <si>
    <t>27.01.2083</t>
  </si>
  <si>
    <t>26.01.2083</t>
  </si>
  <si>
    <t>27.01.2084</t>
  </si>
  <si>
    <t>26.01.2084</t>
  </si>
  <si>
    <t>27.01.2085</t>
  </si>
  <si>
    <t>26.01.2085</t>
  </si>
  <si>
    <t>27.01.2086</t>
  </si>
  <si>
    <t>26.01.2086</t>
  </si>
  <si>
    <t>27.01.2087</t>
  </si>
  <si>
    <t>26.01.2087</t>
  </si>
  <si>
    <t>27.01.2088</t>
  </si>
  <si>
    <t>26.01.2088</t>
  </si>
  <si>
    <t>27.01.2089</t>
  </si>
  <si>
    <t>26.01.2089</t>
  </si>
  <si>
    <t>27.01.2090</t>
  </si>
  <si>
    <t>26.01.2090</t>
  </si>
  <si>
    <t>27.01.2091</t>
  </si>
  <si>
    <t>26.01.2091</t>
  </si>
  <si>
    <t>27.01.2092</t>
  </si>
  <si>
    <t>26.01.2092</t>
  </si>
  <si>
    <t>27.01.2093</t>
  </si>
  <si>
    <t>26.01.2093</t>
  </si>
  <si>
    <t>27.01.2094</t>
  </si>
  <si>
    <t>26.01.2094</t>
  </si>
  <si>
    <t>27.01.2095</t>
  </si>
  <si>
    <t>26.01.2095</t>
  </si>
  <si>
    <t>27.01.2096</t>
  </si>
  <si>
    <t>26.01.2096</t>
  </si>
  <si>
    <t>27.01.2097</t>
  </si>
  <si>
    <t>26.01.2097</t>
  </si>
  <si>
    <t>27.01.2098</t>
  </si>
  <si>
    <t>26.01.2098</t>
  </si>
  <si>
    <t>27.01.2099</t>
  </si>
  <si>
    <t>26.01.2099</t>
  </si>
  <si>
    <t>27.01.2100</t>
  </si>
  <si>
    <t>26.01.2100</t>
  </si>
  <si>
    <t>27.01.2101</t>
  </si>
  <si>
    <t>26.01.2101</t>
  </si>
  <si>
    <t>27.01.2102</t>
  </si>
  <si>
    <t>26.01.2102</t>
  </si>
  <si>
    <t>27.01.2103</t>
  </si>
  <si>
    <t>26.01.2103</t>
  </si>
  <si>
    <t>27.01.2104</t>
  </si>
  <si>
    <t>26.01.2104</t>
  </si>
  <si>
    <t>27.01.2105</t>
  </si>
  <si>
    <t>26.01.2105</t>
  </si>
  <si>
    <t>27.01.2106</t>
  </si>
  <si>
    <t>26.01.2106</t>
  </si>
  <si>
    <t>27.01.2107</t>
  </si>
  <si>
    <t>26.01.2107</t>
  </si>
  <si>
    <t>27.01.2108</t>
  </si>
  <si>
    <t>26.01.2108</t>
  </si>
  <si>
    <t>27.01.2109</t>
  </si>
  <si>
    <t>26.01.2109</t>
  </si>
  <si>
    <t>27.01.2110</t>
  </si>
  <si>
    <t>26.01.2110</t>
  </si>
  <si>
    <t>27.01.2111</t>
  </si>
  <si>
    <t>26.01.2111</t>
  </si>
  <si>
    <t>27.01.2112</t>
  </si>
  <si>
    <t>26.01.2112</t>
  </si>
  <si>
    <t>27.01.2113</t>
  </si>
  <si>
    <t>26.01.2113</t>
  </si>
  <si>
    <t>27.01.2114</t>
  </si>
  <si>
    <t>26.01.2114</t>
  </si>
  <si>
    <t>27.01.2115</t>
  </si>
  <si>
    <t>26.01.2115</t>
  </si>
  <si>
    <t>27.01.2116</t>
  </si>
  <si>
    <t>26.01.2116</t>
  </si>
  <si>
    <t>27.01.2117</t>
  </si>
  <si>
    <t>26.01.2117</t>
  </si>
  <si>
    <t>27.01.2118</t>
  </si>
  <si>
    <t>26.01.2118</t>
  </si>
  <si>
    <t>27.01.2119</t>
  </si>
  <si>
    <t>26.01.2119</t>
  </si>
  <si>
    <t>27.01.2120</t>
  </si>
  <si>
    <t>26.01.2120</t>
  </si>
  <si>
    <t>27.01.2121</t>
  </si>
  <si>
    <t>26.01.2121</t>
  </si>
  <si>
    <t>27.01.2122</t>
  </si>
  <si>
    <t>26.01.2122</t>
  </si>
  <si>
    <t>27.01.2123</t>
  </si>
  <si>
    <t>26.01.2123</t>
  </si>
  <si>
    <t>27.01.2124</t>
  </si>
  <si>
    <t>26.01.2124</t>
  </si>
  <si>
    <t>27.01.2125</t>
  </si>
  <si>
    <t>26.01.2125</t>
  </si>
  <si>
    <t>27.01.2126</t>
  </si>
  <si>
    <t>26.01.2126</t>
  </si>
  <si>
    <t>27.01.2127</t>
  </si>
  <si>
    <t>26.01.2127</t>
  </si>
  <si>
    <t>27.01.2128</t>
  </si>
  <si>
    <t>26.01.2128</t>
  </si>
  <si>
    <t>27.01.2129</t>
  </si>
  <si>
    <t>26.01.2129</t>
  </si>
  <si>
    <t>27.01.2130</t>
  </si>
  <si>
    <t>26.01.2130</t>
  </si>
  <si>
    <t>27.01.2131</t>
  </si>
  <si>
    <t>26.01.2131</t>
  </si>
  <si>
    <t>27.01.2132</t>
  </si>
  <si>
    <t>26.01.2132</t>
  </si>
  <si>
    <t>27.01.2133</t>
  </si>
  <si>
    <t>26.01.2133</t>
  </si>
  <si>
    <t>27.01.2134</t>
  </si>
  <si>
    <t>26.01.2134</t>
  </si>
  <si>
    <t>27.01.2135</t>
  </si>
  <si>
    <t>26.01.2135</t>
  </si>
  <si>
    <t>27.01.2136</t>
  </si>
  <si>
    <t>26.01.2136</t>
  </si>
  <si>
    <t>27.01.2137</t>
  </si>
  <si>
    <t>26.01.2137</t>
  </si>
  <si>
    <t>27.01.2138</t>
  </si>
  <si>
    <t>26.01.2138</t>
  </si>
  <si>
    <t>27.01.2139</t>
  </si>
  <si>
    <t>26.01.2139</t>
  </si>
  <si>
    <t>27.01.2140</t>
  </si>
  <si>
    <t>26.01.2140</t>
  </si>
  <si>
    <t>27.01.2141</t>
  </si>
  <si>
    <t>26.01.2141</t>
  </si>
  <si>
    <t>27.01.2142</t>
  </si>
  <si>
    <t>26.01.2142</t>
  </si>
  <si>
    <t>27.01.2143</t>
  </si>
  <si>
    <t>26.01.2143</t>
  </si>
  <si>
    <t>27.01.2144</t>
  </si>
  <si>
    <t>26.01.2144</t>
  </si>
  <si>
    <t>27.01.2145</t>
  </si>
  <si>
    <t>26.01.2145</t>
  </si>
  <si>
    <t>27.01.2146</t>
  </si>
  <si>
    <t>26.01.2146</t>
  </si>
  <si>
    <t>27.01.2147</t>
  </si>
  <si>
    <t>26.01.2147</t>
  </si>
  <si>
    <t>27.01.2148</t>
  </si>
  <si>
    <t>26.01.2148</t>
  </si>
  <si>
    <t>27.01.2149</t>
  </si>
  <si>
    <t>26.01.2149</t>
  </si>
  <si>
    <t>27.01.2150</t>
  </si>
  <si>
    <t>26.01.2150</t>
  </si>
  <si>
    <t>27.01.2151</t>
  </si>
  <si>
    <t>26.01.2151</t>
  </si>
  <si>
    <t>27.01.2152</t>
  </si>
  <si>
    <t>26.01.2152</t>
  </si>
  <si>
    <t>27.01.2153</t>
  </si>
  <si>
    <t>26.01.2153</t>
  </si>
  <si>
    <t>27.01.2154</t>
  </si>
  <si>
    <t>26.01.2154</t>
  </si>
  <si>
    <t>27.01.2155</t>
  </si>
  <si>
    <t>26.01.2155</t>
  </si>
  <si>
    <t>27.01.2156</t>
  </si>
  <si>
    <t>26.01.2156</t>
  </si>
  <si>
    <t>27.01.2157</t>
  </si>
  <si>
    <t>26.01.2157</t>
  </si>
  <si>
    <t>27.01.2158</t>
  </si>
  <si>
    <t>26.01.2158</t>
  </si>
  <si>
    <t>27.01.2159</t>
  </si>
  <si>
    <t>26.01.2159</t>
  </si>
  <si>
    <t>27.01.2160</t>
  </si>
  <si>
    <t>26.01.2160</t>
  </si>
  <si>
    <t>27.01.2161</t>
  </si>
  <si>
    <t>26.01.2161</t>
  </si>
  <si>
    <t>27.01.2162</t>
  </si>
  <si>
    <t>26.01.2162</t>
  </si>
  <si>
    <t>27.01.2163</t>
  </si>
  <si>
    <t>26.01.2163</t>
  </si>
  <si>
    <t>27.01.2164</t>
  </si>
  <si>
    <t>26.01.2164</t>
  </si>
  <si>
    <t>27.01.2165</t>
  </si>
  <si>
    <t>26.01.2165</t>
  </si>
  <si>
    <t>27.01.2166</t>
  </si>
  <si>
    <t>26.01.2166</t>
  </si>
  <si>
    <t>27.01.2167</t>
  </si>
  <si>
    <t>26.01.2167</t>
  </si>
  <si>
    <t>27.01.2168</t>
  </si>
  <si>
    <t>26.01.2168</t>
  </si>
  <si>
    <t>27.01.2169</t>
  </si>
  <si>
    <t>26.01.2169</t>
  </si>
  <si>
    <t>27.01.2170</t>
  </si>
  <si>
    <t>26.01.2170</t>
  </si>
  <si>
    <t>27.01.2171</t>
  </si>
  <si>
    <t>26.01.2171</t>
  </si>
  <si>
    <t>27.01.2172</t>
  </si>
  <si>
    <t>26.01.2172</t>
  </si>
  <si>
    <t>27.01.2173</t>
  </si>
  <si>
    <t>26.01.2173</t>
  </si>
  <si>
    <t>27.01.2174</t>
  </si>
  <si>
    <t>26.01.2174</t>
  </si>
  <si>
    <t>27.01.2175</t>
  </si>
  <si>
    <t>26.01.2175</t>
  </si>
  <si>
    <t>27.01.2176</t>
  </si>
  <si>
    <t>26.01.2176</t>
  </si>
  <si>
    <t>27.01.2177</t>
  </si>
  <si>
    <t>26.01.2177</t>
  </si>
  <si>
    <t>27.01.2178</t>
  </si>
  <si>
    <t>26.01.2178</t>
  </si>
  <si>
    <t>27.01.2179</t>
  </si>
  <si>
    <t>26.01.2179</t>
  </si>
  <si>
    <t>27.01.2180</t>
  </si>
  <si>
    <t>26.01.2180</t>
  </si>
  <si>
    <t>27.01.2181</t>
  </si>
  <si>
    <t>26.01.2181</t>
  </si>
  <si>
    <t>27.01.2182</t>
  </si>
  <si>
    <t>26.01.2182</t>
  </si>
  <si>
    <t>27.01.2183</t>
  </si>
  <si>
    <t>26.01.2183</t>
  </si>
  <si>
    <t>27.01.2184</t>
  </si>
  <si>
    <t>26.01.2184</t>
  </si>
  <si>
    <t>27.01.2185</t>
  </si>
  <si>
    <t>26.01.2185</t>
  </si>
  <si>
    <t>27.01.2186</t>
  </si>
  <si>
    <t>26.01.2186</t>
  </si>
  <si>
    <t>27.01.2187</t>
  </si>
  <si>
    <t>26.01.2187</t>
  </si>
  <si>
    <t>27.01.2188</t>
  </si>
  <si>
    <t>26.01.2188</t>
  </si>
  <si>
    <t>27.01.2189</t>
  </si>
  <si>
    <t>26.01.2189</t>
  </si>
  <si>
    <t>27.01.2190</t>
  </si>
  <si>
    <t>26.01.2190</t>
  </si>
  <si>
    <t>27.01.2191</t>
  </si>
  <si>
    <t>26.01.2191</t>
  </si>
  <si>
    <t>27.01.2192</t>
  </si>
  <si>
    <t>26.01.2192</t>
  </si>
  <si>
    <t>27.01.2193</t>
  </si>
  <si>
    <t>26.01.2193</t>
  </si>
  <si>
    <t>27.01.2194</t>
  </si>
  <si>
    <t>26.01.2194</t>
  </si>
  <si>
    <t>27.01.2195</t>
  </si>
  <si>
    <t>26.01.2195</t>
  </si>
  <si>
    <t>27.01.2196</t>
  </si>
  <si>
    <t>26.01.2196</t>
  </si>
  <si>
    <t>27.01.2197</t>
  </si>
  <si>
    <t>26.01.2197</t>
  </si>
  <si>
    <t>27.01.2198</t>
  </si>
  <si>
    <t>26.01.2198</t>
  </si>
  <si>
    <t>27.01.2199</t>
  </si>
  <si>
    <t>26.01.2199</t>
  </si>
  <si>
    <t>27.01.2200</t>
  </si>
  <si>
    <t>26.01.2200</t>
  </si>
  <si>
    <t>27.01.2201</t>
  </si>
  <si>
    <t>26.01.2201</t>
  </si>
  <si>
    <t>27.01.2202</t>
  </si>
  <si>
    <t>26.01.2202</t>
  </si>
  <si>
    <t>27.01.2203</t>
  </si>
  <si>
    <t>26.01.2203</t>
  </si>
  <si>
    <t>27.01.2204</t>
  </si>
  <si>
    <t>26.01.2204</t>
  </si>
  <si>
    <t>27.01.2205</t>
  </si>
  <si>
    <t>26.01.2205</t>
  </si>
  <si>
    <t>27.01.2206</t>
  </si>
  <si>
    <t>26.01.2206</t>
  </si>
  <si>
    <t>27.01.2207</t>
  </si>
  <si>
    <t>26.01.2207</t>
  </si>
  <si>
    <t>27.01.2208</t>
  </si>
  <si>
    <t>26.01.2208</t>
  </si>
  <si>
    <t>27.01.2209</t>
  </si>
  <si>
    <t>26.01.2209</t>
  </si>
  <si>
    <t>27.01.2210</t>
  </si>
  <si>
    <t>26.01.2210</t>
  </si>
  <si>
    <t>27.01.2211</t>
  </si>
  <si>
    <t>26.01.2211</t>
  </si>
  <si>
    <t>27.01.2212</t>
  </si>
  <si>
    <t>26.01.2212</t>
  </si>
  <si>
    <t>27.01.2213</t>
  </si>
  <si>
    <t>26.01.2213</t>
  </si>
  <si>
    <t>27.01.2214</t>
  </si>
  <si>
    <t>26.01.2214</t>
  </si>
  <si>
    <t>27.01.2215</t>
  </si>
  <si>
    <t>26.01.2215</t>
  </si>
  <si>
    <t>27.01.2216</t>
  </si>
  <si>
    <t>26.01.2216</t>
  </si>
  <si>
    <t>27.01.2217</t>
  </si>
  <si>
    <t>26.01.2217</t>
  </si>
  <si>
    <t>27.01.2218</t>
  </si>
  <si>
    <t>26.01.2218</t>
  </si>
  <si>
    <t>27.01.2219</t>
  </si>
  <si>
    <t>26.01.2219</t>
  </si>
  <si>
    <t>27.01.2220</t>
  </si>
  <si>
    <t>26.01.2220</t>
  </si>
  <si>
    <t>27.01.2221</t>
  </si>
  <si>
    <t>26.01.2221</t>
  </si>
  <si>
    <t>27.01.2222</t>
  </si>
  <si>
    <t>26.01.2222</t>
  </si>
  <si>
    <t>27.01.2223</t>
  </si>
  <si>
    <t>26.01.2223</t>
  </si>
  <si>
    <t>27.01.2224</t>
  </si>
  <si>
    <t>26.01.2224</t>
  </si>
  <si>
    <t>27.01.2225</t>
  </si>
  <si>
    <t>26.01.2225</t>
  </si>
  <si>
    <t>27.01.2226</t>
  </si>
  <si>
    <t>26.01.2226</t>
  </si>
  <si>
    <t>27.01.2227</t>
  </si>
  <si>
    <t>26.01.2227</t>
  </si>
  <si>
    <t>27.01.2228</t>
  </si>
  <si>
    <t>26.01.2228</t>
  </si>
  <si>
    <t>27.01.2229</t>
  </si>
  <si>
    <t>26.01.2229</t>
  </si>
  <si>
    <t>27.01.2230</t>
  </si>
  <si>
    <t>26.01.2230</t>
  </si>
  <si>
    <t>27.01.2231</t>
  </si>
  <si>
    <t>26.01.2231</t>
  </si>
  <si>
    <t>27.01.2232</t>
  </si>
  <si>
    <t>26.01.2232</t>
  </si>
  <si>
    <t>27.01.2233</t>
  </si>
  <si>
    <t>26.01.2233</t>
  </si>
  <si>
    <t>27.01.2234</t>
  </si>
  <si>
    <t>26.01.2234</t>
  </si>
  <si>
    <t>27.01.2235</t>
  </si>
  <si>
    <t>26.01.2235</t>
  </si>
  <si>
    <t>27.01.2236</t>
  </si>
  <si>
    <t>26.01.2236</t>
  </si>
  <si>
    <t>27.01.2237</t>
  </si>
  <si>
    <t>26.01.2237</t>
  </si>
  <si>
    <t>27.01.2238</t>
  </si>
  <si>
    <t>26.01.2238</t>
  </si>
  <si>
    <t>27.01.2239</t>
  </si>
  <si>
    <t>26.01.2239</t>
  </si>
  <si>
    <t>27.01.2240</t>
  </si>
  <si>
    <t>26.01.2240</t>
  </si>
  <si>
    <t>27.01.2241</t>
  </si>
  <si>
    <t>26.01.2241</t>
  </si>
  <si>
    <t>27.01.2242</t>
  </si>
  <si>
    <t>26.01.2242</t>
  </si>
  <si>
    <t>27.01.2243</t>
  </si>
  <si>
    <t>26.01.2243</t>
  </si>
  <si>
    <t>27.01.2244</t>
  </si>
  <si>
    <t>26.01.2244</t>
  </si>
  <si>
    <t>27.01.2245</t>
  </si>
  <si>
    <t>26.01.2245</t>
  </si>
  <si>
    <t>27.01.2246</t>
  </si>
  <si>
    <t>26.01.2246</t>
  </si>
  <si>
    <t>27.01.2247</t>
  </si>
  <si>
    <t>26.01.2247</t>
  </si>
  <si>
    <t>27.01.2248</t>
  </si>
  <si>
    <t>26.01.2248</t>
  </si>
  <si>
    <t>27.01.2249</t>
  </si>
  <si>
    <t>26.01.2249</t>
  </si>
  <si>
    <t>27.01.2250</t>
  </si>
  <si>
    <t>26.01.2250</t>
  </si>
  <si>
    <t>27.01.2251</t>
  </si>
  <si>
    <t>26.01.2251</t>
  </si>
  <si>
    <t>27.01.2252</t>
  </si>
  <si>
    <t>26.01.2252</t>
  </si>
  <si>
    <t>27.01.2253</t>
  </si>
  <si>
    <t>26.01.2253</t>
  </si>
  <si>
    <t>27.01.2254</t>
  </si>
  <si>
    <t>26.01.2254</t>
  </si>
  <si>
    <t>27.01.2255</t>
  </si>
  <si>
    <t>26.01.2255</t>
  </si>
  <si>
    <t>27.01.2256</t>
  </si>
  <si>
    <t>26.01.2256</t>
  </si>
  <si>
    <t>27.01.2257</t>
  </si>
  <si>
    <t>26.01.2257</t>
  </si>
  <si>
    <t>27.01.2258</t>
  </si>
  <si>
    <t>26.01.2258</t>
  </si>
  <si>
    <t>27.01.2259</t>
  </si>
  <si>
    <t>26.01.2259</t>
  </si>
  <si>
    <t>27.01.2260</t>
  </si>
  <si>
    <t>26.01.2260</t>
  </si>
  <si>
    <t>27.01.2261</t>
  </si>
  <si>
    <t>26.01.2261</t>
  </si>
  <si>
    <t>27.01.2262</t>
  </si>
  <si>
    <t>26.01.2262</t>
  </si>
  <si>
    <t>27.01.2263</t>
  </si>
  <si>
    <t>26.01.2263</t>
  </si>
  <si>
    <t>27.01.2264</t>
  </si>
  <si>
    <t>26.01.2264</t>
  </si>
  <si>
    <t>27.01.2265</t>
  </si>
  <si>
    <t>26.01.2265</t>
  </si>
  <si>
    <t>27.01.2266</t>
  </si>
  <si>
    <t>26.01.2266</t>
  </si>
  <si>
    <t>27.01.2267</t>
  </si>
  <si>
    <t>26.01.2267</t>
  </si>
  <si>
    <t>27.01.2268</t>
  </si>
  <si>
    <t>26.01.2268</t>
  </si>
  <si>
    <t>27.01.2269</t>
  </si>
  <si>
    <t>26.01.2269</t>
  </si>
  <si>
    <t>27.01.2270</t>
  </si>
  <si>
    <t>26.01.2270</t>
  </si>
  <si>
    <t>27.01.2271</t>
  </si>
  <si>
    <t>26.01.2271</t>
  </si>
  <si>
    <t>27.01.2272</t>
  </si>
  <si>
    <t>26.01.2272</t>
  </si>
  <si>
    <t>27.01.2273</t>
  </si>
  <si>
    <t>26.01.2273</t>
  </si>
  <si>
    <t>27.01.2274</t>
  </si>
  <si>
    <t>26.01.2274</t>
  </si>
  <si>
    <t>27.01.2275</t>
  </si>
  <si>
    <t>26.01.2275</t>
  </si>
  <si>
    <t>27.01.2276</t>
  </si>
  <si>
    <t>26.01.2276</t>
  </si>
  <si>
    <t>27.01.2277</t>
  </si>
  <si>
    <t>26.01.2277</t>
  </si>
  <si>
    <t>27.01.2278</t>
  </si>
  <si>
    <t>26.01.2278</t>
  </si>
  <si>
    <t>27.01.2279</t>
  </si>
  <si>
    <t>26.01.2279</t>
  </si>
  <si>
    <t>27.01.2280</t>
  </si>
  <si>
    <t>26.01.2280</t>
  </si>
  <si>
    <t>27.01.2281</t>
  </si>
  <si>
    <t>26.01.2281</t>
  </si>
  <si>
    <t>27.01.2282</t>
  </si>
  <si>
    <t>26.01.2282</t>
  </si>
  <si>
    <t>27.01.2283</t>
  </si>
  <si>
    <t>26.01.2283</t>
  </si>
  <si>
    <t>27.01.2284</t>
  </si>
  <si>
    <t>26.01.2284</t>
  </si>
  <si>
    <t>27.01.2285</t>
  </si>
  <si>
    <t>26.01.2285</t>
  </si>
  <si>
    <t>27.01.2286</t>
  </si>
  <si>
    <t>26.01.2286</t>
  </si>
  <si>
    <t>27.01.2287</t>
  </si>
  <si>
    <t>26.01.2287</t>
  </si>
  <si>
    <t>27.01.2288</t>
  </si>
  <si>
    <t>26.01.2288</t>
  </si>
  <si>
    <t>27.01.2289</t>
  </si>
  <si>
    <t>26.01.2289</t>
  </si>
  <si>
    <t>27.01.2290</t>
  </si>
  <si>
    <t>26.01.2290</t>
  </si>
  <si>
    <t>27.01.2291</t>
  </si>
  <si>
    <t>26.01.2291</t>
  </si>
  <si>
    <t>27.01.2292</t>
  </si>
  <si>
    <t>26.01.2292</t>
  </si>
  <si>
    <t>27.01.2293</t>
  </si>
  <si>
    <t>26.01.2293</t>
  </si>
  <si>
    <t>27.01.2294</t>
  </si>
  <si>
    <t>26.01.2294</t>
  </si>
  <si>
    <t>27.01.2295</t>
  </si>
  <si>
    <t>26.01.2295</t>
  </si>
  <si>
    <t>27.01.2296</t>
  </si>
  <si>
    <t>26.01.2296</t>
  </si>
  <si>
    <t>27.01.2297</t>
  </si>
  <si>
    <t>26.01.2297</t>
  </si>
  <si>
    <t>27.01.2298</t>
  </si>
  <si>
    <t>26.01.2298</t>
  </si>
  <si>
    <t>27.01.2299</t>
  </si>
  <si>
    <t>26.01.2299</t>
  </si>
  <si>
    <t>27.01.2300</t>
  </si>
  <si>
    <t>26.01.2300</t>
  </si>
  <si>
    <t>27.01.2301</t>
  </si>
  <si>
    <t>26.01.2301</t>
  </si>
  <si>
    <t>27.01.2302</t>
  </si>
  <si>
    <t>26.01.2302</t>
  </si>
  <si>
    <t>27.01.2303</t>
  </si>
  <si>
    <t>26.01.2303</t>
  </si>
  <si>
    <t>27.01.2304</t>
  </si>
  <si>
    <t>26.01.2304</t>
  </si>
  <si>
    <t>27.01.2305</t>
  </si>
  <si>
    <t>26.01.2305</t>
  </si>
  <si>
    <t>27.01.2306</t>
  </si>
  <si>
    <t>26.01.2306</t>
  </si>
  <si>
    <t>27.01.2307</t>
  </si>
  <si>
    <t>26.01.2307</t>
  </si>
  <si>
    <t>27.01.2308</t>
  </si>
  <si>
    <t>26.01.2308</t>
  </si>
  <si>
    <t>27.01.2309</t>
  </si>
  <si>
    <t>26.01.2309</t>
  </si>
  <si>
    <t>27.01.2310</t>
  </si>
  <si>
    <t>26.01.2310</t>
  </si>
  <si>
    <t>27.01.2311</t>
  </si>
  <si>
    <t>26.01.2311</t>
  </si>
  <si>
    <t>27.01.2312</t>
  </si>
  <si>
    <t>26.01.2312</t>
  </si>
  <si>
    <t>27.01.2313</t>
  </si>
  <si>
    <t>26.01.2313</t>
  </si>
  <si>
    <t>27.01.2314</t>
  </si>
  <si>
    <t>26.01.2314</t>
  </si>
  <si>
    <t>27.01.2315</t>
  </si>
  <si>
    <t>26.01.2315</t>
  </si>
  <si>
    <t>27.01.2316</t>
  </si>
  <si>
    <t>26.01.2316</t>
  </si>
  <si>
    <t>27.01.2317</t>
  </si>
  <si>
    <t>26.01.2317</t>
  </si>
  <si>
    <t>27.01.2318</t>
  </si>
  <si>
    <t>26.01.2318</t>
  </si>
  <si>
    <t>27.01.2319</t>
  </si>
  <si>
    <t>26.01.2319</t>
  </si>
  <si>
    <t>27.01.2320</t>
  </si>
  <si>
    <t>26.01.2320</t>
  </si>
  <si>
    <t>27.01.2321</t>
  </si>
  <si>
    <t>26.01.2321</t>
  </si>
  <si>
    <t>27.01.2322</t>
  </si>
  <si>
    <t>26.01.2322</t>
  </si>
  <si>
    <t>27.01.2323</t>
  </si>
  <si>
    <t>26.01.2323</t>
  </si>
  <si>
    <t>27.01.2324</t>
  </si>
  <si>
    <t>26.01.2324</t>
  </si>
  <si>
    <t>27.01.2325</t>
  </si>
  <si>
    <t>26.01.2325</t>
  </si>
  <si>
    <t>27.01.2326</t>
  </si>
  <si>
    <t>26.01.2326</t>
  </si>
  <si>
    <t>27.01.2327</t>
  </si>
  <si>
    <t>26.01.2327</t>
  </si>
  <si>
    <t>27.01.2328</t>
  </si>
  <si>
    <t>26.01.2328</t>
  </si>
  <si>
    <t>27.01.2329</t>
  </si>
  <si>
    <t>26.01.2329</t>
  </si>
  <si>
    <t>27.01.2330</t>
  </si>
  <si>
    <t>26.01.2330</t>
  </si>
  <si>
    <t>27.01.2331</t>
  </si>
  <si>
    <t>26.01.2331</t>
  </si>
  <si>
    <t>27.01.2332</t>
  </si>
  <si>
    <t>26.01.2332</t>
  </si>
  <si>
    <t>27.01.2333</t>
  </si>
  <si>
    <t>26.01.2333</t>
  </si>
  <si>
    <t>27.01.2334</t>
  </si>
  <si>
    <t>26.01.2334</t>
  </si>
  <si>
    <t>27.01.2335</t>
  </si>
  <si>
    <t>26.01.2335</t>
  </si>
  <si>
    <t>27.01.2336</t>
  </si>
  <si>
    <t>26.01.2336</t>
  </si>
  <si>
    <t>27.01.2337</t>
  </si>
  <si>
    <t>26.01.2337</t>
  </si>
  <si>
    <t>27.01.2338</t>
  </si>
  <si>
    <t>26.01.2338</t>
  </si>
  <si>
    <t>27.01.2339</t>
  </si>
  <si>
    <t>26.01.2339</t>
  </si>
  <si>
    <t>27.01.2340</t>
  </si>
  <si>
    <t>26.01.2340</t>
  </si>
  <si>
    <t>27.01.2341</t>
  </si>
  <si>
    <t>26.01.2341</t>
  </si>
  <si>
    <t>27.01.2342</t>
  </si>
  <si>
    <t>26.01.2342</t>
  </si>
  <si>
    <t>27.01.2343</t>
  </si>
  <si>
    <t>26.01.2343</t>
  </si>
  <si>
    <t>27.01.2344</t>
  </si>
  <si>
    <t>26.01.2344</t>
  </si>
  <si>
    <t>27.01.2345</t>
  </si>
  <si>
    <t>26.01.2345</t>
  </si>
  <si>
    <t>27.01.2346</t>
  </si>
  <si>
    <t>26.01.2346</t>
  </si>
  <si>
    <t>27.01.2347</t>
  </si>
  <si>
    <t>26.01.2347</t>
  </si>
  <si>
    <t>27.01.2348</t>
  </si>
  <si>
    <t>26.01.2348</t>
  </si>
  <si>
    <t>27.01.2349</t>
  </si>
  <si>
    <t>26.01.2349</t>
  </si>
  <si>
    <t>27.01.2350</t>
  </si>
  <si>
    <t>26.01.2350</t>
  </si>
  <si>
    <t>27.01.2351</t>
  </si>
  <si>
    <t>26.01.2351</t>
  </si>
  <si>
    <t>27.01.2352</t>
  </si>
  <si>
    <t>26.01.2352</t>
  </si>
  <si>
    <t>27.01.2353</t>
  </si>
  <si>
    <t>26.01.2353</t>
  </si>
  <si>
    <t>27.01.2354</t>
  </si>
  <si>
    <t>26.01.2354</t>
  </si>
  <si>
    <t>27.01.2355</t>
  </si>
  <si>
    <t>26.01.2355</t>
  </si>
  <si>
    <t>27.01.2356</t>
  </si>
  <si>
    <t>26.01.2356</t>
  </si>
  <si>
    <t>27.01.2357</t>
  </si>
  <si>
    <t>26.01.2357</t>
  </si>
  <si>
    <t>27.01.2358</t>
  </si>
  <si>
    <t>26.01.2358</t>
  </si>
  <si>
    <t>27.01.2359</t>
  </si>
  <si>
    <t>26.01.2359</t>
  </si>
  <si>
    <t>27.01.2360</t>
  </si>
  <si>
    <t>26.01.2360</t>
  </si>
  <si>
    <t>27.01.2361</t>
  </si>
  <si>
    <t>26.01.2361</t>
  </si>
  <si>
    <t>27.01.2362</t>
  </si>
  <si>
    <t>26.01.2362</t>
  </si>
  <si>
    <t>27.01.2363</t>
  </si>
  <si>
    <t>26.01.2363</t>
  </si>
  <si>
    <t>27.01.2364</t>
  </si>
  <si>
    <t>26.01.2364</t>
  </si>
  <si>
    <t>27.01.2365</t>
  </si>
  <si>
    <t>26.01.2365</t>
  </si>
  <si>
    <t>27.01.2366</t>
  </si>
  <si>
    <t>26.01.2366</t>
  </si>
  <si>
    <t>27.01.2367</t>
  </si>
  <si>
    <t>26.01.2367</t>
  </si>
  <si>
    <t>27.01.2368</t>
  </si>
  <si>
    <t>26.01.2368</t>
  </si>
  <si>
    <t>27.01.2369</t>
  </si>
  <si>
    <t>26.01.2369</t>
  </si>
  <si>
    <t>27.01.2370</t>
  </si>
  <si>
    <t>26.01.2370</t>
  </si>
  <si>
    <t>27.01.2371</t>
  </si>
  <si>
    <t>26.01.2371</t>
  </si>
  <si>
    <t>27.01.2372</t>
  </si>
  <si>
    <t>26.01.2372</t>
  </si>
  <si>
    <t>27.01.2373</t>
  </si>
  <si>
    <t>26.01.2373</t>
  </si>
  <si>
    <t>27.01.2374</t>
  </si>
  <si>
    <t>26.01.2374</t>
  </si>
  <si>
    <t>27.01.2375</t>
  </si>
  <si>
    <t>26.01.2375</t>
  </si>
  <si>
    <t>27.01.2376</t>
  </si>
  <si>
    <t>26.01.2376</t>
  </si>
  <si>
    <t>27.01.2377</t>
  </si>
  <si>
    <t>26.01.2377</t>
  </si>
  <si>
    <t>27.01.2378</t>
  </si>
  <si>
    <t>26.01.2378</t>
  </si>
  <si>
    <t>27.01.2379</t>
  </si>
  <si>
    <t>26.01.2379</t>
  </si>
  <si>
    <t>27.01.2380</t>
  </si>
  <si>
    <t>26.01.2380</t>
  </si>
  <si>
    <t>27.01.2381</t>
  </si>
  <si>
    <t>26.01.2381</t>
  </si>
  <si>
    <t>27.01.2382</t>
  </si>
  <si>
    <t>26.01.2382</t>
  </si>
  <si>
    <t>27.01.2383</t>
  </si>
  <si>
    <t>26.01.2383</t>
  </si>
  <si>
    <t>27.01.2384</t>
  </si>
  <si>
    <t>26.01.2384</t>
  </si>
  <si>
    <t>27.01.2385</t>
  </si>
  <si>
    <t>26.01.2385</t>
  </si>
  <si>
    <t>27.01.2386</t>
  </si>
  <si>
    <t>26.01.2386</t>
  </si>
  <si>
    <t>27.01.2387</t>
  </si>
  <si>
    <t>26.01.2387</t>
  </si>
  <si>
    <t>27.01.2388</t>
  </si>
  <si>
    <t>26.01.2388</t>
  </si>
  <si>
    <t>27.01.2389</t>
  </si>
  <si>
    <t>26.01.2389</t>
  </si>
  <si>
    <t>27.01.2390</t>
  </si>
  <si>
    <t>26.01.2390</t>
  </si>
  <si>
    <t>27.01.2391</t>
  </si>
  <si>
    <t>26.01.2391</t>
  </si>
  <si>
    <t>27.01.2392</t>
  </si>
  <si>
    <t>26.01.2392</t>
  </si>
  <si>
    <t>27.01.2393</t>
  </si>
  <si>
    <t>26.01.2393</t>
  </si>
  <si>
    <t>27.01.2394</t>
  </si>
  <si>
    <t>26.01.2394</t>
  </si>
  <si>
    <t>27.01.2395</t>
  </si>
  <si>
    <t>26.01.2395</t>
  </si>
  <si>
    <t>27.01.2396</t>
  </si>
  <si>
    <t>26.01.2396</t>
  </si>
  <si>
    <t>27.01.2397</t>
  </si>
  <si>
    <t>26.01.2397</t>
  </si>
  <si>
    <t>27.01.2398</t>
  </si>
  <si>
    <t>26.01.2398</t>
  </si>
  <si>
    <t>27.01.2399</t>
  </si>
  <si>
    <t>26.01.2399</t>
  </si>
  <si>
    <t>27.01.2400</t>
  </si>
  <si>
    <t>26.01.2400</t>
  </si>
  <si>
    <t>27.01.2401</t>
  </si>
  <si>
    <t>26.01.2401</t>
  </si>
  <si>
    <t>27.01.2402</t>
  </si>
  <si>
    <t>26.01.2402</t>
  </si>
  <si>
    <t>27.01.2403</t>
  </si>
  <si>
    <t>26.01.2403</t>
  </si>
  <si>
    <t>27.01.2404</t>
  </si>
  <si>
    <t>26.01.2404</t>
  </si>
  <si>
    <t>27.01.2405</t>
  </si>
  <si>
    <t>26.01.2405</t>
  </si>
  <si>
    <t>27.01.2406</t>
  </si>
  <si>
    <t>26.01.2406</t>
  </si>
  <si>
    <t>27.01.2407</t>
  </si>
  <si>
    <t>26.01.2407</t>
  </si>
  <si>
    <t>27.01.2408</t>
  </si>
  <si>
    <t>26.01.2408</t>
  </si>
  <si>
    <t>27.01.2409</t>
  </si>
  <si>
    <t>26.01.2409</t>
  </si>
  <si>
    <t>27.01.2410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</si>
</sst>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0" borderId="1" xfId="1" applyNumberFormat="1" applyFont="1" applyBorder="1"/>
    <xf numFmtId="9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0" xfId="0" applyFont="1" applyFill="1"/>
    <xf numFmtId="0" fontId="2" fillId="4" borderId="0" xfId="0" applyFont="1" applyFill="1"/>
    <xf numFmtId="0" fontId="2" fillId="6" borderId="0" xfId="0" applyFont="1" applyFill="1"/>
    <xf numFmtId="164" fontId="0" fillId="0" borderId="0" xfId="1" applyNumberFormat="1" applyFont="1"/>
    <xf numFmtId="164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2" fillId="0" borderId="1" xfId="0" applyFont="1" applyBorder="1"/>
    <xf numFmtId="0" fontId="0" fillId="7" borderId="1" xfId="0" applyFill="1" applyBorder="1"/>
    <xf numFmtId="0" fontId="0" fillId="8" borderId="1" xfId="0" applyFill="1" applyBorder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B230-6E1C-4785-92A3-4FB5F465EB5D}">
  <dimension ref="A1:Z791"/>
  <sheetViews>
    <sheetView tabSelected="1" topLeftCell="B1" workbookViewId="0">
      <selection activeCell="L14" sqref="C14:L14"/>
    </sheetView>
  </sheetViews>
  <sheetFormatPr baseColWidth="10" defaultRowHeight="14.4" x14ac:dyDescent="0.3"/>
  <cols>
    <col min="5" max="7" width="11.5546875" style="12"/>
    <col min="19" max="19" width="19" bestFit="1" customWidth="1"/>
    <col min="20" max="21" width="12.6640625" bestFit="1" customWidth="1"/>
    <col min="26" max="26" width="19.77734375" customWidth="1"/>
  </cols>
  <sheetData>
    <row r="1" spans="1:26" x14ac:dyDescent="0.3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/>
      <c r="G1" s="2"/>
      <c r="I1" s="2" t="s">
        <v>5</v>
      </c>
      <c r="J1" s="2"/>
      <c r="K1" s="2"/>
      <c r="O1" s="3" t="s">
        <v>6</v>
      </c>
      <c r="P1" s="3"/>
      <c r="Q1" s="3"/>
      <c r="R1" s="3"/>
      <c r="S1" s="3"/>
      <c r="T1" s="3"/>
      <c r="U1" s="3"/>
      <c r="V1" s="4" t="s">
        <v>7</v>
      </c>
      <c r="W1" s="4"/>
      <c r="X1" s="4"/>
      <c r="Y1" s="4"/>
      <c r="Z1" s="4"/>
    </row>
    <row r="2" spans="1:26" x14ac:dyDescent="0.3">
      <c r="A2" t="s">
        <v>8</v>
      </c>
      <c r="B2">
        <v>401.72</v>
      </c>
      <c r="C2">
        <v>272.95</v>
      </c>
      <c r="D2">
        <v>184.87</v>
      </c>
      <c r="E2" s="5" t="s">
        <v>1</v>
      </c>
      <c r="F2" s="5" t="s">
        <v>9</v>
      </c>
      <c r="G2" s="5" t="s">
        <v>10</v>
      </c>
      <c r="I2" s="6">
        <v>0.5</v>
      </c>
      <c r="J2" s="6">
        <v>0.3</v>
      </c>
      <c r="K2" s="6">
        <v>0.2</v>
      </c>
      <c r="L2" s="7" t="s">
        <v>11</v>
      </c>
      <c r="M2" s="8"/>
      <c r="O2" s="9"/>
      <c r="P2" s="9" t="s">
        <v>12</v>
      </c>
      <c r="Q2" s="9" t="s">
        <v>9</v>
      </c>
      <c r="R2" s="9" t="s">
        <v>13</v>
      </c>
      <c r="S2" s="10" t="s">
        <v>14</v>
      </c>
      <c r="T2" s="10" t="s">
        <v>15</v>
      </c>
      <c r="U2" s="10" t="s">
        <v>16</v>
      </c>
      <c r="V2" s="11" t="s">
        <v>1</v>
      </c>
      <c r="W2" s="11" t="s">
        <v>9</v>
      </c>
      <c r="X2" s="11" t="s">
        <v>13</v>
      </c>
      <c r="Y2" s="11" t="s">
        <v>17</v>
      </c>
      <c r="Z2" s="11" t="s">
        <v>18</v>
      </c>
    </row>
    <row r="3" spans="1:26" x14ac:dyDescent="0.3">
      <c r="A3" t="s">
        <v>19</v>
      </c>
      <c r="B3">
        <v>400.6</v>
      </c>
      <c r="C3">
        <v>274.23</v>
      </c>
      <c r="D3">
        <v>195.56</v>
      </c>
      <c r="E3" s="12">
        <f>B3/B2-1</f>
        <v>-2.7880115503335912E-3</v>
      </c>
      <c r="F3" s="12">
        <f>C3/C2-1</f>
        <v>4.6895035720828648E-3</v>
      </c>
      <c r="G3" s="12">
        <f>D3/D2-1</f>
        <v>5.7824417158002905E-2</v>
      </c>
      <c r="I3" s="13">
        <f>AVERAGE(E$3:E$1048576)</f>
        <v>-5.3913031234954865E-4</v>
      </c>
      <c r="J3" s="13">
        <f>AVERAGE(F$3:F$1048576)</f>
        <v>-8.6009881627323477E-4</v>
      </c>
      <c r="K3" s="13">
        <f>AVERAGE(G$3:G$1048576)</f>
        <v>-2.7640394084733058E-3</v>
      </c>
      <c r="L3" s="14" t="s">
        <v>20</v>
      </c>
      <c r="M3" s="14"/>
      <c r="O3" s="14" t="s">
        <v>21</v>
      </c>
      <c r="P3" s="14">
        <f ca="1">NORMINV(RAND(),0,1)</f>
        <v>-0.47364173537578602</v>
      </c>
      <c r="Q3" s="14">
        <f t="shared" ref="Q3:R9" ca="1" si="0">NORMINV(RAND(),0,1)</f>
        <v>1.1877758564349667</v>
      </c>
      <c r="R3" s="14">
        <f t="shared" ca="1" si="0"/>
        <v>1.1030483788730372</v>
      </c>
      <c r="S3" s="14" cm="1">
        <f t="array" aca="1" ref="S3" ca="1">TRANSPOSE((PRODUCT(J7:L9,TRANSPOSE(P3:R9))))</f>
        <v>6.8586667729145253E-39</v>
      </c>
      <c r="T3" s="14" cm="1">
        <f t="array" aca="1" ref="T3" ca="1">TRANSPOSE((PRODUCT(K7:M9,TRANSPOSE(Q3:S9))))</f>
        <v>1.0313977107507586E-118</v>
      </c>
      <c r="U3" s="14" cm="1">
        <f t="array" aca="1" ref="U3" ca="1">TRANSPOSE((PRODUCT(L7:N9,TRANSPOSE(R3:T9))))</f>
        <v>0</v>
      </c>
      <c r="V3" s="15">
        <f ca="1">$I$3+S3</f>
        <v>-5.3913031234954865E-4</v>
      </c>
      <c r="W3" s="15">
        <f ca="1">$J$3+T3</f>
        <v>-8.6009881627323477E-4</v>
      </c>
      <c r="X3" s="15">
        <f ca="1">$K$3+U3</f>
        <v>-2.7640394084733058E-3</v>
      </c>
      <c r="Y3">
        <f ca="1">SUMPRODUCT(I2:K2,V3:X3)</f>
        <v>-1.080402682751406E-3</v>
      </c>
      <c r="Z3">
        <f ca="1">1+Y3</f>
        <v>0.99891959731724855</v>
      </c>
    </row>
    <row r="4" spans="1:26" x14ac:dyDescent="0.3">
      <c r="A4" t="s">
        <v>22</v>
      </c>
      <c r="B4">
        <v>389</v>
      </c>
      <c r="C4">
        <v>272.14</v>
      </c>
      <c r="D4">
        <v>192.85</v>
      </c>
      <c r="E4" s="12">
        <f t="shared" ref="E4:G67" si="1">B4/B3-1</f>
        <v>-2.8956565152271629E-2</v>
      </c>
      <c r="F4" s="12">
        <f t="shared" si="1"/>
        <v>-7.6213397513037462E-3</v>
      </c>
      <c r="G4" s="12">
        <f t="shared" si="1"/>
        <v>-1.3857639599100025E-2</v>
      </c>
      <c r="O4" s="14" t="s">
        <v>23</v>
      </c>
      <c r="P4" s="14">
        <f t="shared" ref="P4:P9" ca="1" si="2">NORMINV(RAND(),0,1)</f>
        <v>-1.5290712412219534</v>
      </c>
      <c r="Q4" s="14">
        <f t="shared" ca="1" si="0"/>
        <v>-2.4231640216257038</v>
      </c>
      <c r="R4" s="14">
        <f t="shared" ca="1" si="0"/>
        <v>-0.40889469055554839</v>
      </c>
      <c r="S4" s="14" cm="1">
        <f t="array" aca="1" ref="S4" ca="1">TRANSPOSE((PRODUCT(J8:L10,TRANSPOSE(P4:R10))))</f>
        <v>-1.8771849168076559E-27</v>
      </c>
      <c r="T4" s="14" cm="1">
        <f t="array" aca="1" ref="T4" ca="1">TRANSPOSE((PRODUCT(K8:M10,TRANSPOSE(Q4:S10))))</f>
        <v>4.5272691308852341E-73</v>
      </c>
      <c r="U4" s="14" cm="1">
        <f t="array" aca="1" ref="U4" ca="1">TRANSPOSE((PRODUCT(L8:N10,TRANSPOSE(R4:T10))))</f>
        <v>0</v>
      </c>
      <c r="V4" s="15">
        <f ca="1">$I$3+S4</f>
        <v>-5.3913031234954865E-4</v>
      </c>
      <c r="W4" s="15">
        <f t="shared" ref="W4:W9" ca="1" si="3">$J$3+T4</f>
        <v>-8.6009881627323477E-4</v>
      </c>
      <c r="X4" s="15">
        <f t="shared" ref="X4:X9" ca="1" si="4">$K$3+U4</f>
        <v>-2.7640394084733058E-3</v>
      </c>
      <c r="Y4">
        <f t="shared" ref="Y4:Y9" ca="1" si="5">SUMPRODUCT(I3:K3,V4:X4)</f>
        <v>8.6703453190422038E-6</v>
      </c>
      <c r="Z4">
        <f t="shared" ref="Z4:Z9" ca="1" si="6">1+Y4</f>
        <v>1.000008670345319</v>
      </c>
    </row>
    <row r="5" spans="1:26" x14ac:dyDescent="0.3">
      <c r="A5" t="s">
        <v>24</v>
      </c>
      <c r="B5">
        <v>384.47</v>
      </c>
      <c r="C5">
        <v>266.18</v>
      </c>
      <c r="D5">
        <v>191.55</v>
      </c>
      <c r="E5" s="12">
        <f t="shared" si="1"/>
        <v>-1.1645244215938266E-2</v>
      </c>
      <c r="F5" s="12">
        <f t="shared" si="1"/>
        <v>-2.1900492393620907E-2</v>
      </c>
      <c r="G5" s="12">
        <f t="shared" si="1"/>
        <v>-6.7409904070520055E-3</v>
      </c>
      <c r="I5" s="1" t="s">
        <v>25</v>
      </c>
      <c r="O5" s="14" t="s">
        <v>26</v>
      </c>
      <c r="P5" s="14">
        <f t="shared" ca="1" si="2"/>
        <v>-0.86043552816187863</v>
      </c>
      <c r="Q5" s="14">
        <f t="shared" ca="1" si="0"/>
        <v>-0.20102111852035226</v>
      </c>
      <c r="R5" s="14">
        <f t="shared" ca="1" si="0"/>
        <v>1.0313316164968112</v>
      </c>
      <c r="S5" s="14" cm="1">
        <f t="array" aca="1" ref="S5" ca="1">TRANSPOSE((PRODUCT(J9:L11,TRANSPOSE(P5:R11))))</f>
        <v>2.5751741905359762E-16</v>
      </c>
      <c r="T5" s="14" cm="1">
        <f t="array" aca="1" ref="T5" ca="1">TRANSPOSE((PRODUCT(K9:M11,TRANSPOSE(Q5:S11))))</f>
        <v>-5.368197860115627E-39</v>
      </c>
      <c r="U5" s="14" cm="1">
        <f t="array" aca="1" ref="U5" ca="1">TRANSPOSE((PRODUCT(L9:N11,TRANSPOSE(R5:T11))))</f>
        <v>0</v>
      </c>
      <c r="V5" s="15">
        <f t="shared" ref="V5:V9" ca="1" si="7">$I$3+S5</f>
        <v>-5.3913031234929115E-4</v>
      </c>
      <c r="W5" s="15">
        <f t="shared" ca="1" si="3"/>
        <v>-8.6009881627323477E-4</v>
      </c>
      <c r="X5" s="15">
        <f t="shared" ca="1" si="4"/>
        <v>-2.7640394084733058E-3</v>
      </c>
      <c r="Y5">
        <f t="shared" ca="1" si="5"/>
        <v>0</v>
      </c>
      <c r="Z5">
        <f t="shared" ca="1" si="6"/>
        <v>1</v>
      </c>
    </row>
    <row r="6" spans="1:26" x14ac:dyDescent="0.3">
      <c r="A6" t="s">
        <v>27</v>
      </c>
      <c r="B6">
        <v>397.23</v>
      </c>
      <c r="C6">
        <v>264.58</v>
      </c>
      <c r="D6">
        <v>189.82</v>
      </c>
      <c r="E6" s="12">
        <f t="shared" si="1"/>
        <v>3.3188545270112169E-2</v>
      </c>
      <c r="F6" s="12">
        <f t="shared" si="1"/>
        <v>-6.0109700202870542E-3</v>
      </c>
      <c r="G6" s="12">
        <f t="shared" si="1"/>
        <v>-9.0315844427043546E-3</v>
      </c>
      <c r="I6" s="16"/>
      <c r="J6" s="16" t="s">
        <v>1</v>
      </c>
      <c r="K6" s="16" t="s">
        <v>9</v>
      </c>
      <c r="L6" s="16" t="s">
        <v>13</v>
      </c>
      <c r="M6" s="16"/>
      <c r="O6" s="14" t="s">
        <v>28</v>
      </c>
      <c r="P6" s="14">
        <f t="shared" ca="1" si="2"/>
        <v>-0.44802854689136773</v>
      </c>
      <c r="Q6" s="14">
        <f t="shared" ca="1" si="0"/>
        <v>7.8056564160842085E-2</v>
      </c>
      <c r="R6" s="14">
        <f t="shared" ca="1" si="0"/>
        <v>-0.27439116347111592</v>
      </c>
      <c r="S6" s="14" cm="1">
        <f t="array" aca="1" ref="S6" ca="1">TRANSPOSE((PRODUCT(J10:L12,TRANSPOSE(P6:R12))))</f>
        <v>3.6273688557304933E-5</v>
      </c>
      <c r="T6" s="14" cm="1">
        <f t="array" aca="1" ref="T6" ca="1">TRANSPOSE((PRODUCT(K10:M12,TRANSPOSE(Q6:S12))))</f>
        <v>6.0363506162434841E-16</v>
      </c>
      <c r="U6" s="14" cm="1">
        <f t="array" aca="1" ref="U6" ca="1">TRANSPOSE((PRODUCT(L10:N12,TRANSPOSE(R6:T12))))</f>
        <v>0</v>
      </c>
      <c r="V6" s="15">
        <f t="shared" ca="1" si="7"/>
        <v>-5.0285662379224375E-4</v>
      </c>
      <c r="W6" s="15">
        <f t="shared" ca="1" si="3"/>
        <v>-8.6009881627263109E-4</v>
      </c>
      <c r="X6" s="15">
        <f t="shared" ca="1" si="4"/>
        <v>-2.7640394084733058E-3</v>
      </c>
      <c r="Y6">
        <f t="shared" ca="1" si="5"/>
        <v>0</v>
      </c>
      <c r="Z6">
        <f t="shared" ca="1" si="6"/>
        <v>1</v>
      </c>
    </row>
    <row r="7" spans="1:26" x14ac:dyDescent="0.3">
      <c r="A7" t="s">
        <v>29</v>
      </c>
      <c r="B7">
        <v>398.46</v>
      </c>
      <c r="C7">
        <v>260.58</v>
      </c>
      <c r="D7">
        <v>187.9</v>
      </c>
      <c r="E7" s="12">
        <f t="shared" si="1"/>
        <v>3.0964428668529553E-3</v>
      </c>
      <c r="F7" s="12">
        <f t="shared" si="1"/>
        <v>-1.511830070300102E-2</v>
      </c>
      <c r="G7" s="12">
        <f t="shared" si="1"/>
        <v>-1.0114845643240944E-2</v>
      </c>
      <c r="I7" s="16" t="s">
        <v>1</v>
      </c>
      <c r="J7" s="17">
        <f>_xlfn.VAR.S(E$3:E$1048576)</f>
        <v>2.3223760084795759E-4</v>
      </c>
      <c r="K7" s="18">
        <f>_xlfn.COVARIANCE.S(E$3:E$1048576,F$3:F$1048576)</f>
        <v>1.0611382825431827E-4</v>
      </c>
      <c r="L7" s="18">
        <f>_xlfn.COVARIANCE.S(E$3:E$1048576,G$3:G$1048576)</f>
        <v>2.38918132002054E-4</v>
      </c>
      <c r="M7" s="18" t="s">
        <v>30</v>
      </c>
      <c r="O7" s="14" t="s">
        <v>31</v>
      </c>
      <c r="P7" s="14">
        <f t="shared" ca="1" si="2"/>
        <v>0.56213296969151338</v>
      </c>
      <c r="Q7" s="14">
        <f t="shared" ca="1" si="0"/>
        <v>1.4294559395000983</v>
      </c>
      <c r="R7" s="14">
        <f t="shared" ca="1" si="0"/>
        <v>-0.62548594830080428</v>
      </c>
      <c r="S7" s="14" cm="1">
        <f t="array" aca="1" ref="S7" ca="1">TRANSPOSE((PRODUCT(J11:L13,TRANSPOSE(P7:R13))))</f>
        <v>3.7801277845571912E-3</v>
      </c>
      <c r="T7" s="14" cm="1">
        <f t="array" aca="1" ref="T7" ca="1">TRANSPOSE((PRODUCT(K11:M13,TRANSPOSE(Q7:S13))))</f>
        <v>-7.7696809496611284E-10</v>
      </c>
      <c r="U7" s="14" cm="1">
        <f t="array" aca="1" ref="U7" ca="1">TRANSPOSE((PRODUCT(L11:N13,TRANSPOSE(R7:T13))))</f>
        <v>0</v>
      </c>
      <c r="V7" s="15">
        <f t="shared" ca="1" si="7"/>
        <v>3.2409974722076426E-3</v>
      </c>
      <c r="W7" s="15">
        <f t="shared" ca="1" si="3"/>
        <v>-8.6009959324132978E-4</v>
      </c>
      <c r="X7" s="15">
        <f t="shared" ca="1" si="4"/>
        <v>-2.7640394084733058E-3</v>
      </c>
      <c r="Y7">
        <f t="shared" ca="1" si="5"/>
        <v>0</v>
      </c>
      <c r="Z7">
        <f t="shared" ca="1" si="6"/>
        <v>1</v>
      </c>
    </row>
    <row r="8" spans="1:26" x14ac:dyDescent="0.3">
      <c r="A8" t="s">
        <v>32</v>
      </c>
      <c r="B8">
        <v>399.6</v>
      </c>
      <c r="C8">
        <v>264.35000000000002</v>
      </c>
      <c r="D8">
        <v>187.98</v>
      </c>
      <c r="E8" s="12">
        <f t="shared" si="1"/>
        <v>2.8610149073935442E-3</v>
      </c>
      <c r="F8" s="12">
        <f t="shared" si="1"/>
        <v>1.4467725842351786E-2</v>
      </c>
      <c r="G8" s="12">
        <f t="shared" si="1"/>
        <v>4.2575838211811323E-4</v>
      </c>
      <c r="I8" s="16" t="s">
        <v>9</v>
      </c>
      <c r="J8" s="18">
        <f>_xlfn.COVARIANCE.S(F$3:F$1048576,E$3:E$1048576)</f>
        <v>1.0611382825431827E-4</v>
      </c>
      <c r="K8" s="17">
        <f>_xlfn.VAR.S(F$3:F$1048576)</f>
        <v>2.5630420102893677E-4</v>
      </c>
      <c r="L8" s="18">
        <f>_xlfn.COVARIANCE.S(F$3:F$1048576,G$3:G$1048576)</f>
        <v>1.7690932844053456E-4</v>
      </c>
      <c r="M8" s="17" t="s">
        <v>33</v>
      </c>
      <c r="O8" s="14" t="s">
        <v>34</v>
      </c>
      <c r="P8" s="14">
        <f t="shared" ca="1" si="2"/>
        <v>-8.2889304435461914E-2</v>
      </c>
      <c r="Q8" s="14">
        <f t="shared" ca="1" si="0"/>
        <v>1.1324915983024129</v>
      </c>
      <c r="R8" s="14">
        <f t="shared" ca="1" si="0"/>
        <v>0.22942630235554642</v>
      </c>
      <c r="S8" s="14" cm="1">
        <f t="array" aca="1" ref="S8" ca="1">TRANSPOSE((PRODUCT(J12:L14,TRANSPOSE(P8:R14))))</f>
        <v>4.7334932348836817E-4</v>
      </c>
      <c r="T8" s="14" cm="1">
        <f t="array" aca="1" ref="T8" ca="1">TRANSPOSE((PRODUCT(K12:M14,TRANSPOSE(Q8:S14))))</f>
        <v>0</v>
      </c>
      <c r="U8" s="14" cm="1">
        <f t="array" aca="1" ref="U8" ca="1">TRANSPOSE((PRODUCT(L12:N14,TRANSPOSE(R8:T14))))</f>
        <v>0</v>
      </c>
      <c r="V8" s="15">
        <f t="shared" ca="1" si="7"/>
        <v>-6.5780988861180477E-5</v>
      </c>
      <c r="W8" s="15">
        <f t="shared" ca="1" si="3"/>
        <v>-8.6009881627323477E-4</v>
      </c>
      <c r="X8" s="15">
        <f t="shared" ca="1" si="4"/>
        <v>-2.7640394084733058E-3</v>
      </c>
      <c r="Y8">
        <f t="shared" ca="1" si="5"/>
        <v>-4.930500886623681E-7</v>
      </c>
      <c r="Z8">
        <f t="shared" ca="1" si="6"/>
        <v>0.99999950694991135</v>
      </c>
    </row>
    <row r="9" spans="1:26" x14ac:dyDescent="0.3">
      <c r="A9" t="s">
        <v>35</v>
      </c>
      <c r="B9">
        <v>396.86</v>
      </c>
      <c r="C9">
        <v>263.88</v>
      </c>
      <c r="D9">
        <v>184.97</v>
      </c>
      <c r="E9" s="12">
        <f t="shared" si="1"/>
        <v>-6.8568568568568855E-3</v>
      </c>
      <c r="F9" s="12">
        <f t="shared" si="1"/>
        <v>-1.7779459050502044E-3</v>
      </c>
      <c r="G9" s="12">
        <f t="shared" si="1"/>
        <v>-1.601234173848276E-2</v>
      </c>
      <c r="I9" s="16" t="s">
        <v>3</v>
      </c>
      <c r="J9" s="18">
        <f>_xlfn.COVARIANCE.S(G$3:G$1048576,E$3:E$1048576)</f>
        <v>2.38918132002054E-4</v>
      </c>
      <c r="K9" s="18">
        <f>_xlfn.COVARIANCE.S(G$3:G$1048576,F$3:F$1048576)</f>
        <v>1.7690932844053456E-4</v>
      </c>
      <c r="L9" s="17">
        <f>_xlfn.VAR.S(G$3:G$1048576)</f>
        <v>9.4157885150559335E-4</v>
      </c>
      <c r="M9" s="14"/>
      <c r="O9" s="14" t="s">
        <v>36</v>
      </c>
      <c r="P9" s="14">
        <f t="shared" ca="1" si="2"/>
        <v>0.33429812258566322</v>
      </c>
      <c r="Q9" s="14">
        <f t="shared" ca="1" si="0"/>
        <v>-0.99571254962799838</v>
      </c>
      <c r="R9" s="14">
        <f t="shared" ca="1" si="0"/>
        <v>-1.0491425086136446</v>
      </c>
      <c r="S9" s="14" cm="1">
        <f t="array" aca="1" ref="S9" ca="1">TRANSPOSE((PRODUCT(J13:L15,TRANSPOSE(P9:R15))))</f>
        <v>1.7892867804165248E-3</v>
      </c>
      <c r="T9" s="14" cm="1">
        <f t="array" aca="1" ref="T9" ca="1">TRANSPOSE((PRODUCT(K13:M15,TRANSPOSE(Q9:S15))))</f>
        <v>0</v>
      </c>
      <c r="U9" s="14" cm="1">
        <f t="array" aca="1" ref="U9" ca="1">TRANSPOSE((PRODUCT(L13:N15,TRANSPOSE(R9:T15))))</f>
        <v>0</v>
      </c>
      <c r="V9" s="15">
        <f t="shared" ca="1" si="7"/>
        <v>1.2501564680669761E-3</v>
      </c>
      <c r="W9" s="15">
        <f t="shared" ca="1" si="3"/>
        <v>-8.6009881627323477E-4</v>
      </c>
      <c r="X9" s="15">
        <f t="shared" ca="1" si="4"/>
        <v>-2.7640394084733058E-3</v>
      </c>
      <c r="Y9">
        <f t="shared" ca="1" si="5"/>
        <v>-7.9970329027300615E-7</v>
      </c>
      <c r="Z9">
        <f t="shared" ca="1" si="6"/>
        <v>0.99999920029670974</v>
      </c>
    </row>
    <row r="10" spans="1:26" x14ac:dyDescent="0.3">
      <c r="A10" t="s">
        <v>37</v>
      </c>
      <c r="B10">
        <v>401.32</v>
      </c>
      <c r="C10">
        <v>255.78</v>
      </c>
      <c r="D10">
        <v>182.81</v>
      </c>
      <c r="E10" s="12">
        <f t="shared" si="1"/>
        <v>1.1238220027213641E-2</v>
      </c>
      <c r="F10" s="12">
        <f t="shared" si="1"/>
        <v>-3.069577080491126E-2</v>
      </c>
      <c r="G10" s="12">
        <f t="shared" si="1"/>
        <v>-1.1677569335567961E-2</v>
      </c>
    </row>
    <row r="11" spans="1:26" x14ac:dyDescent="0.3">
      <c r="A11" t="s">
        <v>38</v>
      </c>
      <c r="B11">
        <v>401.84</v>
      </c>
      <c r="C11">
        <v>261.73</v>
      </c>
      <c r="D11">
        <v>186.94</v>
      </c>
      <c r="E11" s="12">
        <f t="shared" si="1"/>
        <v>1.2957241104354367E-3</v>
      </c>
      <c r="F11" s="12">
        <f t="shared" si="1"/>
        <v>2.3262178434592329E-2</v>
      </c>
      <c r="G11" s="12">
        <f t="shared" si="1"/>
        <v>2.2591761938624666E-2</v>
      </c>
      <c r="I11" s="1" t="s">
        <v>39</v>
      </c>
    </row>
    <row r="12" spans="1:26" x14ac:dyDescent="0.3">
      <c r="A12" t="s">
        <v>40</v>
      </c>
      <c r="B12">
        <v>404.37</v>
      </c>
      <c r="C12">
        <v>275.5</v>
      </c>
      <c r="D12">
        <v>190.05</v>
      </c>
      <c r="E12" s="12">
        <f t="shared" si="1"/>
        <v>6.2960382241687984E-3</v>
      </c>
      <c r="F12" s="12">
        <f t="shared" si="1"/>
        <v>5.2611469835326385E-2</v>
      </c>
      <c r="G12" s="12">
        <f t="shared" si="1"/>
        <v>1.6636353910345569E-2</v>
      </c>
      <c r="I12" t="s">
        <v>41</v>
      </c>
      <c r="O12" s="3" t="s">
        <v>42</v>
      </c>
      <c r="P12" s="3"/>
      <c r="Q12" s="3"/>
      <c r="R12" s="3"/>
      <c r="S12" s="3"/>
      <c r="T12" s="3"/>
      <c r="U12" s="3"/>
    </row>
    <row r="13" spans="1:26" x14ac:dyDescent="0.3">
      <c r="A13" t="s">
        <v>43</v>
      </c>
      <c r="B13">
        <v>413.27</v>
      </c>
      <c r="C13">
        <v>273.68</v>
      </c>
      <c r="D13">
        <v>188.54</v>
      </c>
      <c r="E13" s="12">
        <f t="shared" si="1"/>
        <v>2.2009545713084444E-2</v>
      </c>
      <c r="F13" s="12">
        <f t="shared" si="1"/>
        <v>-6.6061705989109987E-3</v>
      </c>
      <c r="G13" s="12">
        <f t="shared" si="1"/>
        <v>-7.9452775585373558E-3</v>
      </c>
      <c r="I13" t="s">
        <v>44</v>
      </c>
      <c r="O13" s="9"/>
      <c r="P13" s="9" t="s">
        <v>12</v>
      </c>
      <c r="Q13" s="9" t="s">
        <v>9</v>
      </c>
      <c r="R13" s="9" t="s">
        <v>13</v>
      </c>
      <c r="S13" s="10" t="s">
        <v>14</v>
      </c>
      <c r="T13" s="10" t="s">
        <v>15</v>
      </c>
      <c r="U13" s="10" t="s">
        <v>16</v>
      </c>
    </row>
    <row r="14" spans="1:26" x14ac:dyDescent="0.3">
      <c r="A14" t="s">
        <v>45</v>
      </c>
      <c r="B14">
        <v>413.6</v>
      </c>
      <c r="C14">
        <v>274.62</v>
      </c>
      <c r="D14">
        <v>190.04</v>
      </c>
      <c r="E14" s="12">
        <f t="shared" si="1"/>
        <v>7.9850944902859489E-4</v>
      </c>
      <c r="F14" s="12">
        <f t="shared" si="1"/>
        <v>3.4346682256649608E-3</v>
      </c>
      <c r="G14" s="12">
        <f t="shared" si="1"/>
        <v>7.9558714331176006E-3</v>
      </c>
      <c r="I14" t="s">
        <v>46</v>
      </c>
      <c r="O14" s="14" t="s">
        <v>21</v>
      </c>
      <c r="P14" s="14">
        <f ca="1">NORMINV(RAND(),0,1)</f>
        <v>-6.5713363280291634E-2</v>
      </c>
      <c r="Q14" s="14">
        <f t="shared" ref="Q14:R20" ca="1" si="8">NORMINV(RAND(),0,1)</f>
        <v>1.4481839994077843</v>
      </c>
      <c r="R14" s="14">
        <f t="shared" ca="1" si="8"/>
        <v>0.66134066610703723</v>
      </c>
      <c r="S14" s="14" cm="1">
        <f t="array" aca="1" ref="S14" ca="1">TRANSPOSE((PRODUCT(J18:L20,TRANSPOSE(P14:R20))))</f>
        <v>0</v>
      </c>
      <c r="T14" s="14" cm="1">
        <f t="array" aca="1" ref="T14" ca="1">TRANSPOSE((PRODUCT(K18:M20,TRANSPOSE(Q14:S20))))</f>
        <v>0</v>
      </c>
      <c r="U14" s="14" cm="1">
        <f t="array" aca="1" ref="U14" ca="1">TRANSPOSE((PRODUCT(L18:N20,TRANSPOSE(R14:T20))))</f>
        <v>0</v>
      </c>
    </row>
    <row r="15" spans="1:26" x14ac:dyDescent="0.3">
      <c r="A15" t="s">
        <v>47</v>
      </c>
      <c r="B15">
        <v>401.14</v>
      </c>
      <c r="C15">
        <v>278.12</v>
      </c>
      <c r="D15">
        <v>185.41</v>
      </c>
      <c r="E15" s="12">
        <f t="shared" si="1"/>
        <v>-3.0125725338491338E-2</v>
      </c>
      <c r="F15" s="12">
        <f t="shared" si="1"/>
        <v>1.2744883839487242E-2</v>
      </c>
      <c r="G15" s="12">
        <f t="shared" si="1"/>
        <v>-2.4363291938539255E-2</v>
      </c>
      <c r="O15" s="14" t="s">
        <v>23</v>
      </c>
      <c r="P15" s="14">
        <f t="shared" ref="P15:P20" ca="1" si="9">NORMINV(RAND(),0,1)</f>
        <v>7.5659264064913009E-2</v>
      </c>
      <c r="Q15" s="14">
        <f t="shared" ca="1" si="8"/>
        <v>-0.87292278817492852</v>
      </c>
      <c r="R15" s="14">
        <f t="shared" ca="1" si="8"/>
        <v>1.2326419349065731</v>
      </c>
      <c r="S15" s="14" cm="1">
        <f t="array" aca="1" ref="S15" ca="1">TRANSPOSE((PRODUCT(J19:L21,TRANSPOSE(P15:R21))))</f>
        <v>-5.7535006326443921E-12</v>
      </c>
      <c r="T15" s="14" cm="1">
        <f t="array" aca="1" ref="T15" ca="1">TRANSPOSE((PRODUCT(K19:M21,TRANSPOSE(Q15:S21))))</f>
        <v>6.4622164902512087E-39</v>
      </c>
      <c r="U15" s="14" cm="1">
        <f t="array" aca="1" ref="U15" ca="1">TRANSPOSE((PRODUCT(L19:N21,TRANSPOSE(R15:T21))))</f>
        <v>-2.4949303710421241E-169</v>
      </c>
    </row>
    <row r="16" spans="1:26" x14ac:dyDescent="0.3">
      <c r="A16" t="s">
        <v>48</v>
      </c>
      <c r="B16">
        <v>393.67</v>
      </c>
      <c r="C16">
        <v>275.91000000000003</v>
      </c>
      <c r="D16">
        <v>171.88</v>
      </c>
      <c r="E16" s="12">
        <f t="shared" si="1"/>
        <v>-1.8621927506606073E-2</v>
      </c>
      <c r="F16" s="12">
        <f t="shared" si="1"/>
        <v>-7.9462102689485947E-3</v>
      </c>
      <c r="G16" s="12">
        <f t="shared" si="1"/>
        <v>-7.2973410279920214E-2</v>
      </c>
      <c r="O16" s="14" t="s">
        <v>26</v>
      </c>
      <c r="P16" s="14">
        <f t="shared" ca="1" si="9"/>
        <v>-2.2054694513135926</v>
      </c>
      <c r="Q16" s="14">
        <f t="shared" ca="1" si="8"/>
        <v>-0.44489728905032849</v>
      </c>
      <c r="R16" s="14">
        <f t="shared" ca="1" si="8"/>
        <v>-0.29537541737021394</v>
      </c>
      <c r="S16" s="14" cm="1">
        <f t="array" aca="1" ref="S16" ca="1">TRANSPOSE((PRODUCT(J20:L22,TRANSPOSE(P16:R22))))</f>
        <v>2.2323627277988768E-5</v>
      </c>
      <c r="T16" s="14" cm="1">
        <f t="array" aca="1" ref="T16" ca="1">TRANSPOSE((PRODUCT(K20:M22,TRANSPOSE(Q16:S22))))</f>
        <v>1.549409966766803E-24</v>
      </c>
      <c r="U16" s="14" cm="1">
        <f t="array" aca="1" ref="U16" ca="1">TRANSPOSE((PRODUCT(L20:N22,TRANSPOSE(R16:T22))))</f>
        <v>5.443870967905331E-120</v>
      </c>
    </row>
    <row r="17" spans="1:21" x14ac:dyDescent="0.3">
      <c r="A17" t="s">
        <v>49</v>
      </c>
      <c r="B17">
        <v>414.19</v>
      </c>
      <c r="C17">
        <v>276.49</v>
      </c>
      <c r="D17">
        <v>174.19</v>
      </c>
      <c r="E17" s="12">
        <f t="shared" si="1"/>
        <v>5.2124876165316136E-2</v>
      </c>
      <c r="F17" s="12">
        <f t="shared" si="1"/>
        <v>2.1021347540863822E-3</v>
      </c>
      <c r="G17" s="12">
        <f t="shared" si="1"/>
        <v>1.3439609029555433E-2</v>
      </c>
      <c r="I17">
        <f>SQRT(J7)</f>
        <v>1.523934384571585E-2</v>
      </c>
      <c r="J17" s="19">
        <v>0</v>
      </c>
      <c r="K17" s="19">
        <v>0</v>
      </c>
      <c r="O17" s="14" t="s">
        <v>28</v>
      </c>
      <c r="P17" s="14">
        <f t="shared" ca="1" si="9"/>
        <v>-0.86546122009470006</v>
      </c>
      <c r="Q17" s="14">
        <f t="shared" ca="1" si="8"/>
        <v>1.5989017277803443</v>
      </c>
      <c r="R17" s="14">
        <f t="shared" ca="1" si="8"/>
        <v>1.0110617397375834</v>
      </c>
      <c r="S17" s="14" cm="1">
        <f t="array" aca="1" ref="S17" ca="1">TRANSPOSE((PRODUCT(J21:L23,TRANSPOSE(P17:R23))))</f>
        <v>-7.7024627815394886E-5</v>
      </c>
      <c r="T17" s="14" cm="1">
        <f t="array" aca="1" ref="T17" ca="1">TRANSPOSE((PRODUCT(K21:M23,TRANSPOSE(Q17:S23))))</f>
        <v>5.2816239310264224E-19</v>
      </c>
      <c r="U17" s="14" cm="1">
        <f t="array" aca="1" ref="U17" ca="1">TRANSPOSE((PRODUCT(L21:N23,TRANSPOSE(R17:T23))))</f>
        <v>-5.3284680554873446E-91</v>
      </c>
    </row>
    <row r="18" spans="1:21" x14ac:dyDescent="0.3">
      <c r="A18" t="s">
        <v>50</v>
      </c>
      <c r="B18">
        <v>411.21</v>
      </c>
      <c r="C18">
        <v>269.48</v>
      </c>
      <c r="D18">
        <v>180.34</v>
      </c>
      <c r="E18" s="12">
        <f t="shared" si="1"/>
        <v>-7.194765687244975E-3</v>
      </c>
      <c r="F18" s="12">
        <f t="shared" si="1"/>
        <v>-2.5353539006835679E-2</v>
      </c>
      <c r="G18" s="12">
        <f t="shared" si="1"/>
        <v>3.5306274757448852E-2</v>
      </c>
      <c r="I18">
        <f>J8/I17</f>
        <v>6.9631494195958737E-3</v>
      </c>
      <c r="J18">
        <f>SQRT(K8-I18^2)</f>
        <v>1.4415920060451169E-2</v>
      </c>
      <c r="K18" s="19">
        <v>0</v>
      </c>
      <c r="O18" s="14" t="s">
        <v>31</v>
      </c>
      <c r="P18" s="14">
        <f t="shared" ca="1" si="9"/>
        <v>0.10068458954770354</v>
      </c>
      <c r="Q18" s="14">
        <f t="shared" ca="1" si="8"/>
        <v>-0.24569743488118378</v>
      </c>
      <c r="R18" s="14">
        <f t="shared" ca="1" si="8"/>
        <v>8.9578191042196151E-2</v>
      </c>
      <c r="S18" s="14" cm="1">
        <f t="array" aca="1" ref="S18" ca="1">TRANSPOSE((PRODUCT(J22:L24,TRANSPOSE(P18:R24))))</f>
        <v>-1.4629499472277338E-5</v>
      </c>
      <c r="T18" s="14" cm="1">
        <f t="array" aca="1" ref="T18" ca="1">TRANSPOSE((PRODUCT(K22:M24,TRANSPOSE(Q18:S24))))</f>
        <v>3.7304396318651777E-20</v>
      </c>
      <c r="U18" s="14" cm="1">
        <f t="array" aca="1" ref="U18" ca="1">TRANSPOSE((PRODUCT(L22:N24,TRANSPOSE(R18:T24))))</f>
        <v>-3.2534541981591042E-96</v>
      </c>
    </row>
    <row r="19" spans="1:21" x14ac:dyDescent="0.3">
      <c r="A19" t="s">
        <v>51</v>
      </c>
      <c r="B19">
        <v>423.37</v>
      </c>
      <c r="C19">
        <v>270.01</v>
      </c>
      <c r="D19">
        <v>185.61</v>
      </c>
      <c r="E19" s="12">
        <f t="shared" si="1"/>
        <v>2.9571265290241122E-2</v>
      </c>
      <c r="F19" s="12">
        <f t="shared" si="1"/>
        <v>1.9667507792784367E-3</v>
      </c>
      <c r="G19" s="12">
        <f t="shared" si="1"/>
        <v>2.9222579571919871E-2</v>
      </c>
      <c r="I19">
        <f>J9/I17</f>
        <v>1.567771778239781E-2</v>
      </c>
      <c r="J19">
        <f>(K9-I19*I18)/J18</f>
        <v>4.6991823400360346E-3</v>
      </c>
      <c r="K19">
        <f>(L9-I19^2-J19^2)</f>
        <v>6.7370570197617427E-4</v>
      </c>
      <c r="O19" s="14" t="s">
        <v>34</v>
      </c>
      <c r="P19" s="14">
        <f t="shared" ca="1" si="9"/>
        <v>1.7524420519757014</v>
      </c>
      <c r="Q19" s="14">
        <f t="shared" ca="1" si="8"/>
        <v>-0.55949385558576714</v>
      </c>
      <c r="R19" s="14">
        <f t="shared" ca="1" si="8"/>
        <v>-0.73326027608075939</v>
      </c>
      <c r="S19" s="14" cm="1">
        <f t="array" aca="1" ref="S19" ca="1">TRANSPOSE((PRODUCT(J23:L25,TRANSPOSE(P19:R25))))</f>
        <v>5.8517541982040073E-4</v>
      </c>
      <c r="T19" s="14" cm="1">
        <f t="array" aca="1" ref="T19" ca="1">TRANSPOSE((PRODUCT(K23:M25,TRANSPOSE(Q19:S25))))</f>
        <v>8.24442570807131E-19</v>
      </c>
      <c r="U19" s="14" cm="1">
        <f t="array" aca="1" ref="U19" ca="1">TRANSPOSE((PRODUCT(L23:N25,TRANSPOSE(R19:T25))))</f>
        <v>-1.6093273608864095E-93</v>
      </c>
    </row>
    <row r="20" spans="1:21" x14ac:dyDescent="0.3">
      <c r="A20" t="s">
        <v>52</v>
      </c>
      <c r="B20">
        <v>430.29</v>
      </c>
      <c r="C20">
        <v>259.48</v>
      </c>
      <c r="D20">
        <v>191.13</v>
      </c>
      <c r="E20" s="12">
        <f t="shared" si="1"/>
        <v>1.6345040980702441E-2</v>
      </c>
      <c r="F20" s="12">
        <f t="shared" si="1"/>
        <v>-3.8998555609051411E-2</v>
      </c>
      <c r="G20" s="12">
        <f t="shared" si="1"/>
        <v>2.9739776951672736E-2</v>
      </c>
      <c r="O20" s="14" t="s">
        <v>36</v>
      </c>
      <c r="P20" s="14">
        <f t="shared" ca="1" si="9"/>
        <v>-7.2286588459327908E-2</v>
      </c>
      <c r="Q20" s="14">
        <f t="shared" ca="1" si="8"/>
        <v>0.22957954673231465</v>
      </c>
      <c r="R20" s="14">
        <f t="shared" ca="1" si="8"/>
        <v>2.0822293558561262</v>
      </c>
      <c r="S20" s="14" cm="1">
        <f t="array" aca="1" ref="S20" ca="1">TRANSPOSE((PRODUCT(J24:L26,TRANSPOSE(P20:R26))))</f>
        <v>-1.1479017720668348E-4</v>
      </c>
      <c r="T20" s="14" cm="1">
        <f t="array" aca="1" ref="T20" ca="1">TRANSPOSE((PRODUCT(K24:M26,TRANSPOSE(Q20:S26))))</f>
        <v>-3.1339921293769984E-18</v>
      </c>
      <c r="U20" s="14" cm="1">
        <f t="array" aca="1" ref="U20" ca="1">TRANSPOSE((PRODUCT(L24:N26,TRANSPOSE(R20:T26))))</f>
        <v>-8.3270556255589859E-88</v>
      </c>
    </row>
    <row r="21" spans="1:21" x14ac:dyDescent="0.3">
      <c r="A21" t="s">
        <v>53</v>
      </c>
      <c r="B21">
        <v>433.5</v>
      </c>
      <c r="C21">
        <v>258.27999999999997</v>
      </c>
      <c r="D21">
        <v>192.51</v>
      </c>
      <c r="E21" s="12">
        <f t="shared" si="1"/>
        <v>7.4600850589137124E-3</v>
      </c>
      <c r="F21" s="12">
        <f t="shared" si="1"/>
        <v>-4.6246338831510414E-3</v>
      </c>
      <c r="G21" s="12">
        <f t="shared" si="1"/>
        <v>7.2202166064980755E-3</v>
      </c>
    </row>
    <row r="22" spans="1:21" x14ac:dyDescent="0.3">
      <c r="A22" t="s">
        <v>54</v>
      </c>
      <c r="B22">
        <v>481.63</v>
      </c>
      <c r="C22">
        <v>256.44</v>
      </c>
      <c r="D22">
        <v>191.52</v>
      </c>
      <c r="E22" s="12">
        <f t="shared" si="1"/>
        <v>0.11102652825836223</v>
      </c>
      <c r="F22" s="12">
        <f t="shared" si="1"/>
        <v>-7.1240514170666236E-3</v>
      </c>
      <c r="G22" s="12">
        <f t="shared" si="1"/>
        <v>-5.1425899953247978E-3</v>
      </c>
      <c r="O22" s="3" t="s">
        <v>55</v>
      </c>
      <c r="P22" s="3"/>
      <c r="Q22" s="3"/>
      <c r="R22" s="3"/>
      <c r="S22" s="3"/>
      <c r="T22" s="3"/>
      <c r="U22" s="3"/>
    </row>
    <row r="23" spans="1:21" x14ac:dyDescent="0.3">
      <c r="A23" t="s">
        <v>56</v>
      </c>
      <c r="B23">
        <v>480.58</v>
      </c>
      <c r="C23">
        <v>258.27</v>
      </c>
      <c r="D23">
        <v>188.52</v>
      </c>
      <c r="E23" s="12">
        <f t="shared" si="1"/>
        <v>-2.1800967547702665E-3</v>
      </c>
      <c r="F23" s="12">
        <f t="shared" si="1"/>
        <v>7.1361722040241826E-3</v>
      </c>
      <c r="G23" s="12">
        <f t="shared" si="1"/>
        <v>-1.5664160401002492E-2</v>
      </c>
      <c r="O23" s="9"/>
      <c r="P23" s="9" t="s">
        <v>12</v>
      </c>
      <c r="Q23" s="9" t="s">
        <v>9</v>
      </c>
      <c r="R23" s="9" t="s">
        <v>13</v>
      </c>
      <c r="S23" s="10" t="s">
        <v>14</v>
      </c>
      <c r="T23" s="10" t="s">
        <v>15</v>
      </c>
      <c r="U23" s="10" t="s">
        <v>16</v>
      </c>
    </row>
    <row r="24" spans="1:21" x14ac:dyDescent="0.3">
      <c r="A24" t="s">
        <v>57</v>
      </c>
      <c r="B24">
        <v>470.28</v>
      </c>
      <c r="C24">
        <v>255.41</v>
      </c>
      <c r="D24">
        <v>186.47</v>
      </c>
      <c r="E24" s="12">
        <f t="shared" si="1"/>
        <v>-2.1432435806733596E-2</v>
      </c>
      <c r="F24" s="12">
        <f t="shared" si="1"/>
        <v>-1.1073682580245436E-2</v>
      </c>
      <c r="G24" s="12">
        <f t="shared" si="1"/>
        <v>-1.0874177806068364E-2</v>
      </c>
      <c r="O24" s="14" t="s">
        <v>21</v>
      </c>
      <c r="P24" s="14">
        <f ca="1">NORMINV(RAND(),0,1)</f>
        <v>0.80449701749240632</v>
      </c>
      <c r="Q24" s="14">
        <f t="shared" ref="Q24:R30" ca="1" si="10">NORMINV(RAND(),0,1)</f>
        <v>0.50473299790288706</v>
      </c>
      <c r="R24" s="14">
        <f t="shared" ca="1" si="10"/>
        <v>-0.65442635811455041</v>
      </c>
      <c r="S24" s="14" cm="1">
        <f t="array" aca="1" ref="S24" ca="1">TRANSPOSE((PRODUCT(J28:L30,TRANSPOSE(P24:R30))))</f>
        <v>2.6625582432165502E-5</v>
      </c>
      <c r="T24" s="14" cm="1">
        <f t="array" aca="1" ref="T24" ca="1">TRANSPOSE((PRODUCT(K28:M30,TRANSPOSE(Q24:S30))))</f>
        <v>1.4413093053582663E-23</v>
      </c>
      <c r="U24" s="14" cm="1">
        <f t="array" aca="1" ref="U24" ca="1">TRANSPOSE((PRODUCT(L28:N30,TRANSPOSE(R24:T30))))</f>
        <v>8.9510808638542422E-129</v>
      </c>
    </row>
    <row r="25" spans="1:21" x14ac:dyDescent="0.3">
      <c r="A25" t="s">
        <v>58</v>
      </c>
      <c r="B25">
        <v>465.95</v>
      </c>
      <c r="C25">
        <v>248.04</v>
      </c>
      <c r="D25">
        <v>187.67</v>
      </c>
      <c r="E25" s="12">
        <f t="shared" si="1"/>
        <v>-9.2072807689036473E-3</v>
      </c>
      <c r="F25" s="12">
        <f t="shared" si="1"/>
        <v>-2.8855565561254459E-2</v>
      </c>
      <c r="G25" s="12">
        <f t="shared" si="1"/>
        <v>6.4353515310773268E-3</v>
      </c>
      <c r="O25" s="14" t="s">
        <v>23</v>
      </c>
      <c r="P25" s="14">
        <f t="shared" ref="P25:P30" ca="1" si="11">NORMINV(RAND(),0,1)</f>
        <v>-1.2480786339680545</v>
      </c>
      <c r="Q25" s="14">
        <f t="shared" ca="1" si="10"/>
        <v>0.48225517095937992</v>
      </c>
      <c r="R25" s="14">
        <f t="shared" ca="1" si="10"/>
        <v>-0.14726640344367814</v>
      </c>
      <c r="S25" s="14" cm="1">
        <f t="array" aca="1" ref="S25" ca="1">TRANSPOSE((PRODUCT(J29:L31,TRANSPOSE(P25:R31))))</f>
        <v>-1.0019641822733482E-4</v>
      </c>
      <c r="T25" s="14" cm="1">
        <f t="array" aca="1" ref="T25" ca="1">TRANSPOSE((PRODUCT(K29:M31,TRANSPOSE(Q25:S31))))</f>
        <v>-1.6388363657061441E-18</v>
      </c>
      <c r="U25" s="14" cm="1">
        <f t="array" aca="1" ref="U25" ca="1">TRANSPOSE((PRODUCT(L29:N31,TRANSPOSE(R25:T31))))</f>
        <v>-3.5641698358287385E-101</v>
      </c>
    </row>
    <row r="26" spans="1:21" x14ac:dyDescent="0.3">
      <c r="A26" t="s">
        <v>59</v>
      </c>
      <c r="B26">
        <v>451.14</v>
      </c>
      <c r="C26">
        <v>248.35</v>
      </c>
      <c r="D26">
        <v>184.84</v>
      </c>
      <c r="E26" s="12">
        <f t="shared" si="1"/>
        <v>-3.1784526236720678E-2</v>
      </c>
      <c r="F26" s="12">
        <f t="shared" si="1"/>
        <v>1.2497984196098155E-3</v>
      </c>
      <c r="G26" s="12">
        <f t="shared" si="1"/>
        <v>-1.5079661107262665E-2</v>
      </c>
      <c r="O26" s="14" t="s">
        <v>26</v>
      </c>
      <c r="P26" s="14">
        <f t="shared" ca="1" si="11"/>
        <v>-0.17469015242424055</v>
      </c>
      <c r="Q26" s="14">
        <f t="shared" ca="1" si="10"/>
        <v>-1.1482280611817719</v>
      </c>
      <c r="R26" s="14">
        <f t="shared" ca="1" si="10"/>
        <v>-0.70310342971000761</v>
      </c>
      <c r="S26" s="14" cm="1">
        <f t="array" aca="1" ref="S26" ca="1">TRANSPOSE((PRODUCT(J30:L32,TRANSPOSE(P26:R32))))</f>
        <v>-1.1303935603528797E-3</v>
      </c>
      <c r="T26" s="14" cm="1">
        <f t="array" aca="1" ref="T26" ca="1">TRANSPOSE((PRODUCT(K30:M32,TRANSPOSE(Q26:S32))))</f>
        <v>-2.3030471106727419E-13</v>
      </c>
      <c r="U26" s="14" cm="1">
        <f t="array" aca="1" ref="U26" ca="1">TRANSPOSE((PRODUCT(L30:N32,TRANSPOSE(R26:T32))))</f>
        <v>1.4738962727226883E-78</v>
      </c>
    </row>
    <row r="27" spans="1:21" x14ac:dyDescent="0.3">
      <c r="A27" t="s">
        <v>60</v>
      </c>
      <c r="B27">
        <v>444.11</v>
      </c>
      <c r="C27">
        <v>247.65</v>
      </c>
      <c r="D27">
        <v>183.32</v>
      </c>
      <c r="E27" s="12">
        <f t="shared" si="1"/>
        <v>-1.5582745932526398E-2</v>
      </c>
      <c r="F27" s="12">
        <f t="shared" si="1"/>
        <v>-2.8186027783370093E-3</v>
      </c>
      <c r="G27" s="12">
        <f t="shared" si="1"/>
        <v>-8.2233282839212496E-3</v>
      </c>
      <c r="O27" s="14" t="s">
        <v>28</v>
      </c>
      <c r="P27" s="14">
        <f t="shared" ca="1" si="11"/>
        <v>-1.1697601423675084</v>
      </c>
      <c r="Q27" s="14">
        <f t="shared" ca="1" si="10"/>
        <v>-1.3711708039076906</v>
      </c>
      <c r="R27" s="14">
        <f t="shared" ca="1" si="10"/>
        <v>-0.55230440651523294</v>
      </c>
      <c r="S27" s="14" cm="1">
        <f t="array" aca="1" ref="S27" ca="1">TRANSPOSE((PRODUCT(J31:L33,TRANSPOSE(P27:R33))))</f>
        <v>8.0151910439762077E-3</v>
      </c>
      <c r="T27" s="14" cm="1">
        <f t="array" aca="1" ref="T27" ca="1">TRANSPOSE((PRODUCT(K31:M33,TRANSPOSE(Q27:S33))))</f>
        <v>2.5236305403395893E-10</v>
      </c>
      <c r="U27" s="14" cm="1">
        <f t="array" aca="1" ref="U27" ca="1">TRANSPOSE((PRODUCT(L31:N33,TRANSPOSE(R27:T33))))</f>
        <v>-8.0522121294468466E-63</v>
      </c>
    </row>
    <row r="28" spans="1:21" x14ac:dyDescent="0.3">
      <c r="A28" t="s">
        <v>61</v>
      </c>
      <c r="B28">
        <v>454.52</v>
      </c>
      <c r="C28">
        <v>246.7</v>
      </c>
      <c r="D28">
        <v>178.07</v>
      </c>
      <c r="E28" s="12">
        <f t="shared" si="1"/>
        <v>2.3440138704375002E-2</v>
      </c>
      <c r="F28" s="12">
        <f t="shared" si="1"/>
        <v>-3.8360589541692747E-3</v>
      </c>
      <c r="G28" s="12">
        <f t="shared" si="1"/>
        <v>-2.8638446432467823E-2</v>
      </c>
      <c r="O28" s="14" t="s">
        <v>31</v>
      </c>
      <c r="P28" s="14">
        <f t="shared" ca="1" si="11"/>
        <v>-0.95577583193665627</v>
      </c>
      <c r="Q28" s="14">
        <f t="shared" ca="1" si="10"/>
        <v>-0.70527928633380266</v>
      </c>
      <c r="R28" s="14">
        <f t="shared" ca="1" si="10"/>
        <v>1.3322323461457659</v>
      </c>
      <c r="S28" s="14" cm="1">
        <f t="array" aca="1" ref="S28" ca="1">TRANSPOSE((PRODUCT(J32:L34,TRANSPOSE(P28:R34))))</f>
        <v>-9.0478833616800744E-3</v>
      </c>
      <c r="T28" s="14" cm="1">
        <f t="array" aca="1" ref="T28" ca="1">TRANSPOSE((PRODUCT(K32:M34,TRANSPOSE(Q28:S34))))</f>
        <v>4.1575916407033551E-8</v>
      </c>
      <c r="U28" s="14" cm="1">
        <f t="array" aca="1" ref="U28" ca="1">TRANSPOSE((PRODUCT(L32:N34,TRANSPOSE(R28:T34))))</f>
        <v>7.2077057160911675E-51</v>
      </c>
    </row>
    <row r="29" spans="1:21" x14ac:dyDescent="0.3">
      <c r="A29" t="s">
        <v>62</v>
      </c>
      <c r="B29">
        <v>459.86</v>
      </c>
      <c r="C29">
        <v>255.53</v>
      </c>
      <c r="D29">
        <v>186.23</v>
      </c>
      <c r="E29" s="12">
        <f t="shared" si="1"/>
        <v>1.1748657924843808E-2</v>
      </c>
      <c r="F29" s="12">
        <f t="shared" si="1"/>
        <v>3.5792460478313748E-2</v>
      </c>
      <c r="G29" s="12">
        <f t="shared" si="1"/>
        <v>4.5824675689335681E-2</v>
      </c>
      <c r="O29" s="14" t="s">
        <v>34</v>
      </c>
      <c r="P29" s="14">
        <f t="shared" ca="1" si="11"/>
        <v>0.82393620565524173</v>
      </c>
      <c r="Q29" s="14">
        <f t="shared" ca="1" si="10"/>
        <v>-0.97001967556576996</v>
      </c>
      <c r="R29" s="14">
        <f t="shared" ca="1" si="10"/>
        <v>-0.36558306675490687</v>
      </c>
      <c r="S29" s="14" cm="1">
        <f t="array" aca="1" ref="S29" ca="1">TRANSPOSE((PRODUCT(J33:L35,TRANSPOSE(P29:R35))))</f>
        <v>5.1952298284040676E-3</v>
      </c>
      <c r="T29" s="14" cm="1">
        <f t="array" aca="1" ref="T29" ca="1">TRANSPOSE((PRODUCT(K33:M35,TRANSPOSE(Q29:S35))))</f>
        <v>1.3858935351213362E-15</v>
      </c>
      <c r="U29" s="14" cm="1">
        <f t="array" aca="1" ref="U29" ca="1">TRANSPOSE((PRODUCT(L33:N35,TRANSPOSE(R29:T35))))</f>
        <v>6.4354046983858679E-105</v>
      </c>
    </row>
    <row r="30" spans="1:21" x14ac:dyDescent="0.3">
      <c r="A30" t="s">
        <v>63</v>
      </c>
      <c r="B30">
        <v>456.66</v>
      </c>
      <c r="C30">
        <v>258.20999999999998</v>
      </c>
      <c r="D30">
        <v>187.05</v>
      </c>
      <c r="E30" s="12">
        <f t="shared" si="1"/>
        <v>-6.9586395859608796E-3</v>
      </c>
      <c r="F30" s="12">
        <f t="shared" si="1"/>
        <v>1.0488005322271343E-2</v>
      </c>
      <c r="G30" s="12">
        <f t="shared" si="1"/>
        <v>4.4031573860281448E-3</v>
      </c>
      <c r="O30" s="14" t="s">
        <v>36</v>
      </c>
      <c r="P30" s="14">
        <f t="shared" ca="1" si="11"/>
        <v>-0.46856257387228067</v>
      </c>
      <c r="Q30" s="14">
        <f t="shared" ca="1" si="10"/>
        <v>-0.39619541586447948</v>
      </c>
      <c r="R30" s="14">
        <f t="shared" ca="1" si="10"/>
        <v>-0.1857430619297889</v>
      </c>
      <c r="S30" s="14" cm="1">
        <f t="array" aca="1" ref="S30" ca="1">TRANSPOSE((PRODUCT(J34:L36,TRANSPOSE(P30:R36))))</f>
        <v>3.607117650147626E-2</v>
      </c>
      <c r="T30" s="14" cm="1">
        <f t="array" aca="1" ref="T30" ca="1">TRANSPOSE((PRODUCT(K34:M36,TRANSPOSE(Q30:S36))))</f>
        <v>-8.1552003546359649E-22</v>
      </c>
      <c r="U30" s="14" cm="1">
        <f t="array" aca="1" ref="U30" ca="1">TRANSPOSE((PRODUCT(L34:N36,TRANSPOSE(R30:T36))))</f>
        <v>-9.5995406454283622E-141</v>
      </c>
    </row>
    <row r="31" spans="1:21" x14ac:dyDescent="0.3">
      <c r="A31" t="s">
        <v>64</v>
      </c>
      <c r="B31">
        <v>459.38</v>
      </c>
      <c r="C31">
        <v>259.95999999999998</v>
      </c>
      <c r="D31">
        <v>183.14</v>
      </c>
      <c r="E31" s="12">
        <f t="shared" si="1"/>
        <v>5.9562913327200206E-3</v>
      </c>
      <c r="F31" s="12">
        <f t="shared" si="1"/>
        <v>6.7774292242748224E-3</v>
      </c>
      <c r="G31" s="12">
        <f t="shared" si="1"/>
        <v>-2.0903501737503438E-2</v>
      </c>
    </row>
    <row r="32" spans="1:21" x14ac:dyDescent="0.3">
      <c r="A32" t="s">
        <v>65</v>
      </c>
      <c r="B32">
        <v>470.67</v>
      </c>
      <c r="C32">
        <v>261.05</v>
      </c>
      <c r="D32">
        <v>185.81</v>
      </c>
      <c r="E32" s="12">
        <f t="shared" si="1"/>
        <v>2.4576603247855822E-2</v>
      </c>
      <c r="F32" s="12">
        <f t="shared" si="1"/>
        <v>4.1929527619635198E-3</v>
      </c>
      <c r="G32" s="12">
        <f t="shared" si="1"/>
        <v>1.457901059298905E-2</v>
      </c>
    </row>
    <row r="33" spans="1:21" x14ac:dyDescent="0.3">
      <c r="A33" t="s">
        <v>66</v>
      </c>
      <c r="B33">
        <v>477.18</v>
      </c>
      <c r="C33">
        <v>260.25</v>
      </c>
      <c r="D33">
        <v>184.94</v>
      </c>
      <c r="E33" s="12">
        <f t="shared" si="1"/>
        <v>1.3831346803492961E-2</v>
      </c>
      <c r="F33" s="12">
        <f t="shared" si="1"/>
        <v>-3.0645470216433823E-3</v>
      </c>
      <c r="G33" s="12">
        <f t="shared" si="1"/>
        <v>-4.6822022496098015E-3</v>
      </c>
      <c r="O33" s="3" t="s">
        <v>67</v>
      </c>
      <c r="P33" s="3"/>
      <c r="Q33" s="3"/>
      <c r="R33" s="3"/>
      <c r="S33" s="3"/>
      <c r="T33" s="3"/>
      <c r="U33" s="3"/>
    </row>
    <row r="34" spans="1:21" x14ac:dyDescent="0.3">
      <c r="A34" t="s">
        <v>68</v>
      </c>
      <c r="B34">
        <v>479.28</v>
      </c>
      <c r="C34">
        <v>259.37</v>
      </c>
      <c r="D34">
        <v>184.86</v>
      </c>
      <c r="E34" s="12">
        <f t="shared" si="1"/>
        <v>4.4008550232614851E-3</v>
      </c>
      <c r="F34" s="12">
        <f t="shared" si="1"/>
        <v>-3.3813640730067096E-3</v>
      </c>
      <c r="G34" s="12">
        <f t="shared" si="1"/>
        <v>-4.3257272628949295E-4</v>
      </c>
      <c r="O34" s="9"/>
      <c r="P34" s="9" t="s">
        <v>12</v>
      </c>
      <c r="Q34" s="9" t="s">
        <v>9</v>
      </c>
      <c r="R34" s="9" t="s">
        <v>13</v>
      </c>
      <c r="S34" s="10" t="s">
        <v>14</v>
      </c>
      <c r="T34" s="10" t="s">
        <v>15</v>
      </c>
      <c r="U34" s="10" t="s">
        <v>16</v>
      </c>
    </row>
    <row r="35" spans="1:21" x14ac:dyDescent="0.3">
      <c r="A35" t="s">
        <v>69</v>
      </c>
      <c r="B35">
        <v>478.11</v>
      </c>
      <c r="C35">
        <v>259.04000000000002</v>
      </c>
      <c r="D35">
        <v>185.04</v>
      </c>
      <c r="E35" s="12">
        <f t="shared" si="1"/>
        <v>-2.4411617426138843E-3</v>
      </c>
      <c r="F35" s="12">
        <f t="shared" si="1"/>
        <v>-1.2723136831552795E-3</v>
      </c>
      <c r="G35" s="12">
        <f t="shared" si="1"/>
        <v>9.7370983446931625E-4</v>
      </c>
      <c r="O35" s="14" t="s">
        <v>21</v>
      </c>
      <c r="P35" s="14">
        <f ca="1">NORMINV(RAND(),0,1)</f>
        <v>-1.011957531160524</v>
      </c>
      <c r="Q35" s="14">
        <f t="shared" ref="Q35:R41" ca="1" si="12">NORMINV(RAND(),0,1)</f>
        <v>0.41441782660650561</v>
      </c>
      <c r="R35" s="14">
        <f t="shared" ca="1" si="12"/>
        <v>1.229572675692987</v>
      </c>
      <c r="S35" s="14" cm="1">
        <f t="array" aca="1" ref="S35" ca="1">TRANSPOSE((PRODUCT(J39:L41,TRANSPOSE(P35:R41))))</f>
        <v>5.5613919311601223E-10</v>
      </c>
      <c r="T35" s="14" cm="1">
        <f t="array" aca="1" ref="T35" ca="1">TRANSPOSE((PRODUCT(K39:M41,TRANSPOSE(Q35:S41))))</f>
        <v>-6.5434970178305301E-55</v>
      </c>
      <c r="U35" s="14" cm="1">
        <f t="array" aca="1" ref="U35" ca="1">TRANSPOSE((PRODUCT(L39:N41,TRANSPOSE(R35:T41))))</f>
        <v>-7.6962085568500693E-239</v>
      </c>
    </row>
    <row r="36" spans="1:21" x14ac:dyDescent="0.3">
      <c r="A36" t="s">
        <v>70</v>
      </c>
      <c r="B36">
        <v>483.47</v>
      </c>
      <c r="C36">
        <v>260.33</v>
      </c>
      <c r="D36">
        <v>189.11</v>
      </c>
      <c r="E36" s="12">
        <f t="shared" si="1"/>
        <v>1.1210809228001883E-2</v>
      </c>
      <c r="F36" s="12">
        <f t="shared" si="1"/>
        <v>4.9799258801728197E-3</v>
      </c>
      <c r="G36" s="12">
        <f t="shared" si="1"/>
        <v>2.1995244271509007E-2</v>
      </c>
      <c r="O36" s="14" t="s">
        <v>23</v>
      </c>
      <c r="P36" s="14">
        <f t="shared" ref="P36:P41" ca="1" si="13">NORMINV(RAND(),0,1)</f>
        <v>2.0182184975629691</v>
      </c>
      <c r="Q36" s="14">
        <f t="shared" ca="1" si="12"/>
        <v>0.63755055247794046</v>
      </c>
      <c r="R36" s="14">
        <f t="shared" ca="1" si="12"/>
        <v>1.5766414366747581</v>
      </c>
      <c r="S36" s="14" cm="1">
        <f t="array" aca="1" ref="S36" ca="1">TRANSPOSE((PRODUCT(J40:L42,TRANSPOSE(P36:R42))))</f>
        <v>-1.0785209445620034E-9</v>
      </c>
      <c r="T36" s="14" cm="1">
        <f t="array" aca="1" ref="T36" ca="1">TRANSPOSE((PRODUCT(K40:M42,TRANSPOSE(Q36:S42))))</f>
        <v>-2.3090523233137789E-45</v>
      </c>
      <c r="U36" s="14" cm="1">
        <f t="array" aca="1" ref="U36" ca="1">TRANSPOSE((PRODUCT(L40:N42,TRANSPOSE(R36:T42))))</f>
        <v>1.7200030351715553E-175</v>
      </c>
    </row>
    <row r="37" spans="1:21" x14ac:dyDescent="0.3">
      <c r="A37" t="s">
        <v>71</v>
      </c>
      <c r="B37">
        <v>478.51</v>
      </c>
      <c r="C37">
        <v>262.36</v>
      </c>
      <c r="D37">
        <v>187.24</v>
      </c>
      <c r="E37" s="12">
        <f t="shared" si="1"/>
        <v>-1.0259168097296656E-2</v>
      </c>
      <c r="F37" s="12">
        <f t="shared" si="1"/>
        <v>7.7977951062113693E-3</v>
      </c>
      <c r="G37" s="12">
        <f t="shared" si="1"/>
        <v>-9.8884247263497649E-3</v>
      </c>
      <c r="O37" s="14" t="s">
        <v>26</v>
      </c>
      <c r="P37" s="14">
        <f t="shared" ca="1" si="13"/>
        <v>0.17676135108621774</v>
      </c>
      <c r="Q37" s="14">
        <f t="shared" ca="1" si="12"/>
        <v>7.5674352148586213E-2</v>
      </c>
      <c r="R37" s="14">
        <f t="shared" ca="1" si="12"/>
        <v>-0.94915641268671525</v>
      </c>
      <c r="S37" s="14" cm="1">
        <f t="array" aca="1" ref="S37" ca="1">TRANSPOSE((PRODUCT(J41:L43,TRANSPOSE(P37:R43))))</f>
        <v>-5.3163411067365027E-10</v>
      </c>
      <c r="T37" s="14" cm="1">
        <f t="array" aca="1" ref="T37" ca="1">TRANSPOSE((PRODUCT(K41:M43,TRANSPOSE(Q37:S43))))</f>
        <v>2.1298922241636585E-36</v>
      </c>
      <c r="U37" s="14" cm="1">
        <f t="array" aca="1" ref="U37" ca="1">TRANSPOSE((PRODUCT(L41:N43,TRANSPOSE(R37:T43))))</f>
        <v>4.3806032332846532E-122</v>
      </c>
    </row>
    <row r="38" spans="1:21" x14ac:dyDescent="0.3">
      <c r="A38" t="s">
        <v>72</v>
      </c>
      <c r="B38">
        <v>472.85</v>
      </c>
      <c r="C38">
        <v>267.26</v>
      </c>
      <c r="D38">
        <v>188.12</v>
      </c>
      <c r="E38" s="12">
        <f t="shared" si="1"/>
        <v>-1.1828383941819287E-2</v>
      </c>
      <c r="F38" s="12">
        <f t="shared" si="1"/>
        <v>1.867662753468502E-2</v>
      </c>
      <c r="G38" s="12">
        <f t="shared" si="1"/>
        <v>4.699850459303434E-3</v>
      </c>
      <c r="O38" s="14" t="s">
        <v>28</v>
      </c>
      <c r="P38" s="14">
        <f t="shared" ca="1" si="13"/>
        <v>1.1125259614656662</v>
      </c>
      <c r="Q38" s="14">
        <f t="shared" ca="1" si="12"/>
        <v>0.66258752342140281</v>
      </c>
      <c r="R38" s="14">
        <f t="shared" ca="1" si="12"/>
        <v>7.0010073008992715E-2</v>
      </c>
      <c r="S38" s="14" cm="1">
        <f t="array" aca="1" ref="S38" ca="1">TRANSPOSE((PRODUCT(J42:L44,TRANSPOSE(P38:R44))))</f>
        <v>4.187347734560861E-8</v>
      </c>
      <c r="T38" s="14" cm="1">
        <f t="array" aca="1" ref="T38" ca="1">TRANSPOSE((PRODUCT(K42:M44,TRANSPOSE(Q38:S44))))</f>
        <v>5.5777403279126646E-26</v>
      </c>
      <c r="U38" s="14" cm="1">
        <f t="array" aca="1" ref="U38" ca="1">TRANSPOSE((PRODUCT(L42:N44,TRANSPOSE(R38:T44))))</f>
        <v>4.0759201448403156E-77</v>
      </c>
    </row>
    <row r="39" spans="1:21" x14ac:dyDescent="0.3">
      <c r="A39" t="s">
        <v>73</v>
      </c>
      <c r="B39">
        <v>472.94</v>
      </c>
      <c r="C39">
        <v>271.01</v>
      </c>
      <c r="D39">
        <v>188.85</v>
      </c>
      <c r="E39" s="12">
        <f t="shared" si="1"/>
        <v>1.9033520143807436E-4</v>
      </c>
      <c r="F39" s="12">
        <f t="shared" si="1"/>
        <v>1.4031280401107571E-2</v>
      </c>
      <c r="G39" s="12">
        <f t="shared" si="1"/>
        <v>3.8805018073568842E-3</v>
      </c>
      <c r="O39" s="14" t="s">
        <v>31</v>
      </c>
      <c r="P39" s="14">
        <f t="shared" ca="1" si="13"/>
        <v>-0.18494672761612252</v>
      </c>
      <c r="Q39" s="14">
        <f t="shared" ca="1" si="12"/>
        <v>0.16304453214351475</v>
      </c>
      <c r="R39" s="14">
        <f t="shared" ca="1" si="12"/>
        <v>1.1315903563158809</v>
      </c>
      <c r="S39" s="14" cm="1">
        <f t="array" aca="1" ref="S39" ca="1">TRANSPOSE((PRODUCT(J43:L45,TRANSPOSE(P39:R45))))</f>
        <v>8.1138147762153183E-7</v>
      </c>
      <c r="T39" s="14" cm="1">
        <f t="array" aca="1" ref="T39" ca="1">TRANSPOSE((PRODUCT(K43:M45,TRANSPOSE(Q39:S45))))</f>
        <v>2.8715440275798847E-17</v>
      </c>
      <c r="U39" s="14" cm="1">
        <f t="array" aca="1" ref="U39" ca="1">TRANSPOSE((PRODUCT(L43:N45,TRANSPOSE(R39:T45))))</f>
        <v>2.4926873884762166E-43</v>
      </c>
    </row>
    <row r="40" spans="1:21" x14ac:dyDescent="0.3">
      <c r="A40" t="s">
        <v>74</v>
      </c>
      <c r="B40">
        <v>483.62</v>
      </c>
      <c r="C40">
        <v>271.86</v>
      </c>
      <c r="D40">
        <v>186.5</v>
      </c>
      <c r="E40" s="12">
        <f t="shared" si="1"/>
        <v>2.2582145726730785E-2</v>
      </c>
      <c r="F40" s="12">
        <f t="shared" si="1"/>
        <v>3.1364156304196644E-3</v>
      </c>
      <c r="G40" s="12">
        <f t="shared" si="1"/>
        <v>-1.2443738416732852E-2</v>
      </c>
      <c r="O40" s="14" t="s">
        <v>34</v>
      </c>
      <c r="P40" s="14">
        <f t="shared" ca="1" si="13"/>
        <v>-0.31756667302704605</v>
      </c>
      <c r="Q40" s="14">
        <f t="shared" ca="1" si="12"/>
        <v>-0.18648285509513907</v>
      </c>
      <c r="R40" s="14">
        <f t="shared" ca="1" si="12"/>
        <v>1.0154149360733682E-2</v>
      </c>
      <c r="S40" s="14" cm="1">
        <f t="array" aca="1" ref="S40" ca="1">TRANSPOSE((PRODUCT(J44:L46,TRANSPOSE(P40:R46))))</f>
        <v>-2.3778418223755613E-5</v>
      </c>
      <c r="T40" s="14" cm="1">
        <f t="array" aca="1" ref="T40" ca="1">TRANSPOSE((PRODUCT(K44:M46,TRANSPOSE(Q40:S46))))</f>
        <v>1.9182045357171755E-10</v>
      </c>
      <c r="U40" s="14" cm="1">
        <f t="array" aca="1" ref="U40" ca="1">TRANSPOSE((PRODUCT(L44:N46,TRANSPOSE(R40:T46))))</f>
        <v>9.4544878926868166E-21</v>
      </c>
    </row>
    <row r="41" spans="1:21" x14ac:dyDescent="0.3">
      <c r="A41" t="s">
        <v>75</v>
      </c>
      <c r="B41">
        <v>487.48</v>
      </c>
      <c r="C41">
        <v>273.08</v>
      </c>
      <c r="D41">
        <v>187.54</v>
      </c>
      <c r="E41" s="12">
        <f t="shared" si="1"/>
        <v>7.9814730573590786E-3</v>
      </c>
      <c r="F41" s="12">
        <f t="shared" si="1"/>
        <v>4.4876039137791146E-3</v>
      </c>
      <c r="G41" s="12">
        <f t="shared" si="1"/>
        <v>5.5764075067024077E-3</v>
      </c>
      <c r="O41" s="14" t="s">
        <v>36</v>
      </c>
      <c r="P41" s="14">
        <f t="shared" ca="1" si="13"/>
        <v>0.36703009403845444</v>
      </c>
      <c r="Q41" s="14">
        <f t="shared" ca="1" si="12"/>
        <v>-8.8908319734310945E-2</v>
      </c>
      <c r="R41" s="14">
        <f t="shared" ca="1" si="12"/>
        <v>1.2117736582061789</v>
      </c>
      <c r="S41" s="14" cm="1">
        <f t="array" aca="1" ref="S41" ca="1">TRANSPOSE((PRODUCT(J45:L47,TRANSPOSE(P41:R47))))</f>
        <v>-3.9542633098927547E-2</v>
      </c>
      <c r="T41" s="14" cm="1">
        <f t="array" aca="1" ref="T41" ca="1">TRANSPOSE((PRODUCT(K45:M47,TRANSPOSE(Q41:S47))))</f>
        <v>4.260195165992511E-3</v>
      </c>
      <c r="U41" s="14" cm="1">
        <f t="array" aca="1" ref="U41" ca="1">TRANSPOSE((PRODUCT(L45:N47,TRANSPOSE(R41:T47))))</f>
        <v>-2.0413458387901474E-4</v>
      </c>
    </row>
    <row r="42" spans="1:21" x14ac:dyDescent="0.3">
      <c r="A42" t="s">
        <v>76</v>
      </c>
      <c r="B42">
        <v>487.1</v>
      </c>
      <c r="C42">
        <v>273.76</v>
      </c>
      <c r="D42">
        <v>188.22</v>
      </c>
      <c r="E42" s="12">
        <f t="shared" si="1"/>
        <v>-7.7951915976037789E-4</v>
      </c>
      <c r="F42" s="12">
        <f t="shared" si="1"/>
        <v>2.4901127874614737E-3</v>
      </c>
      <c r="G42" s="12">
        <f t="shared" si="1"/>
        <v>3.6258931427961549E-3</v>
      </c>
    </row>
    <row r="43" spans="1:21" x14ac:dyDescent="0.3">
      <c r="A43" t="s">
        <v>77</v>
      </c>
      <c r="B43">
        <v>487.71</v>
      </c>
      <c r="C43">
        <v>273.39999999999998</v>
      </c>
      <c r="D43">
        <v>190.53</v>
      </c>
      <c r="E43" s="12">
        <f t="shared" si="1"/>
        <v>1.2523095873535617E-3</v>
      </c>
      <c r="F43" s="12">
        <f t="shared" si="1"/>
        <v>-1.3150204558738388E-3</v>
      </c>
      <c r="G43" s="12">
        <f t="shared" si="1"/>
        <v>1.2272872170863813E-2</v>
      </c>
    </row>
    <row r="44" spans="1:21" x14ac:dyDescent="0.3">
      <c r="A44" t="s">
        <v>78</v>
      </c>
      <c r="B44">
        <v>488.02</v>
      </c>
      <c r="C44">
        <v>273.81</v>
      </c>
      <c r="D44">
        <v>188.61</v>
      </c>
      <c r="E44" s="12">
        <f t="shared" si="1"/>
        <v>6.356236287958783E-4</v>
      </c>
      <c r="F44" s="12">
        <f t="shared" si="1"/>
        <v>1.4996342355524384E-3</v>
      </c>
      <c r="G44" s="12">
        <f t="shared" si="1"/>
        <v>-1.0077153204219758E-2</v>
      </c>
    </row>
    <row r="45" spans="1:21" x14ac:dyDescent="0.3">
      <c r="A45" t="s">
        <v>79</v>
      </c>
      <c r="B45">
        <v>486.85</v>
      </c>
      <c r="C45">
        <v>272.36</v>
      </c>
      <c r="D45">
        <v>189.21</v>
      </c>
      <c r="E45" s="12">
        <f t="shared" si="1"/>
        <v>-2.3974427277569932E-3</v>
      </c>
      <c r="F45" s="12">
        <f t="shared" si="1"/>
        <v>-5.2956429640991232E-3</v>
      </c>
      <c r="G45" s="12">
        <f t="shared" si="1"/>
        <v>3.1811674884683061E-3</v>
      </c>
    </row>
    <row r="46" spans="1:21" x14ac:dyDescent="0.3">
      <c r="A46" t="s">
        <v>80</v>
      </c>
      <c r="B46">
        <v>484.92</v>
      </c>
      <c r="C46">
        <v>270.97000000000003</v>
      </c>
      <c r="D46">
        <v>183.69</v>
      </c>
      <c r="E46" s="12">
        <f t="shared" si="1"/>
        <v>-3.9642600390263905E-3</v>
      </c>
      <c r="F46" s="12">
        <f t="shared" si="1"/>
        <v>-5.1035394331031547E-3</v>
      </c>
      <c r="G46" s="12">
        <f t="shared" si="1"/>
        <v>-2.9173933724433221E-2</v>
      </c>
    </row>
    <row r="47" spans="1:21" x14ac:dyDescent="0.3">
      <c r="A47" t="s">
        <v>81</v>
      </c>
      <c r="B47">
        <v>485.92</v>
      </c>
      <c r="C47">
        <v>273.67</v>
      </c>
      <c r="D47">
        <v>180.99</v>
      </c>
      <c r="E47" s="12">
        <f t="shared" si="1"/>
        <v>2.0621958261155537E-3</v>
      </c>
      <c r="F47" s="12">
        <f t="shared" si="1"/>
        <v>9.9642026792632343E-3</v>
      </c>
      <c r="G47" s="12">
        <f t="shared" si="1"/>
        <v>-1.4698677119059256E-2</v>
      </c>
    </row>
    <row r="48" spans="1:21" x14ac:dyDescent="0.3">
      <c r="A48" t="s">
        <v>82</v>
      </c>
      <c r="B48">
        <v>483.98</v>
      </c>
      <c r="C48">
        <v>272.19</v>
      </c>
      <c r="D48">
        <v>174.14</v>
      </c>
      <c r="E48" s="12">
        <f t="shared" si="1"/>
        <v>-3.9924267369114697E-3</v>
      </c>
      <c r="F48" s="12">
        <f t="shared" si="1"/>
        <v>-5.4079731062959269E-3</v>
      </c>
      <c r="G48" s="12">
        <f t="shared" si="1"/>
        <v>-3.7847394883695373E-2</v>
      </c>
    </row>
    <row r="49" spans="1:7" x14ac:dyDescent="0.3">
      <c r="A49" t="s">
        <v>83</v>
      </c>
      <c r="B49">
        <v>476.12</v>
      </c>
      <c r="C49">
        <v>271.83999999999997</v>
      </c>
      <c r="D49">
        <v>170.94</v>
      </c>
      <c r="E49" s="12">
        <f t="shared" si="1"/>
        <v>-1.62403405099385E-2</v>
      </c>
      <c r="F49" s="12">
        <f t="shared" si="1"/>
        <v>-1.2858664903193651E-3</v>
      </c>
      <c r="G49" s="12">
        <f t="shared" si="1"/>
        <v>-1.8376019294820245E-2</v>
      </c>
    </row>
    <row r="50" spans="1:7" x14ac:dyDescent="0.3">
      <c r="A50" t="s">
        <v>84</v>
      </c>
      <c r="B50">
        <v>476.39</v>
      </c>
      <c r="C50">
        <v>274.61</v>
      </c>
      <c r="D50">
        <v>177.72</v>
      </c>
      <c r="E50" s="12">
        <f t="shared" si="1"/>
        <v>5.6708392842130806E-4</v>
      </c>
      <c r="F50" s="12">
        <f t="shared" si="1"/>
        <v>1.0189817539729473E-2</v>
      </c>
      <c r="G50" s="12">
        <f t="shared" si="1"/>
        <v>3.9663039663039745E-2</v>
      </c>
    </row>
    <row r="51" spans="1:7" x14ac:dyDescent="0.3">
      <c r="A51" t="s">
        <v>85</v>
      </c>
      <c r="B51">
        <v>474.82</v>
      </c>
      <c r="C51">
        <v>274.11</v>
      </c>
      <c r="D51">
        <v>176.29</v>
      </c>
      <c r="E51" s="12">
        <f t="shared" si="1"/>
        <v>-3.295619135582184E-3</v>
      </c>
      <c r="F51" s="12">
        <f t="shared" si="1"/>
        <v>-1.8207639925712504E-3</v>
      </c>
      <c r="G51" s="12">
        <f t="shared" si="1"/>
        <v>-8.0463650686473098E-3</v>
      </c>
    </row>
    <row r="52" spans="1:7" x14ac:dyDescent="0.3">
      <c r="A52" t="s">
        <v>86</v>
      </c>
      <c r="B52">
        <v>478.53</v>
      </c>
      <c r="C52">
        <v>278.27999999999997</v>
      </c>
      <c r="D52">
        <v>175.02</v>
      </c>
      <c r="E52" s="12">
        <f t="shared" si="1"/>
        <v>7.8134872162081148E-3</v>
      </c>
      <c r="F52" s="12">
        <f t="shared" si="1"/>
        <v>1.5212870745320961E-2</v>
      </c>
      <c r="G52" s="12">
        <f t="shared" si="1"/>
        <v>-7.2040387997048816E-3</v>
      </c>
    </row>
    <row r="53" spans="1:7" x14ac:dyDescent="0.3">
      <c r="A53" t="s">
        <v>87</v>
      </c>
      <c r="B53">
        <v>483.47</v>
      </c>
      <c r="C53">
        <v>278.02999999999997</v>
      </c>
      <c r="D53">
        <v>180.93</v>
      </c>
      <c r="E53" s="12">
        <f t="shared" si="1"/>
        <v>1.0323281716924759E-2</v>
      </c>
      <c r="F53" s="12">
        <f t="shared" si="1"/>
        <v>-8.9837573666806669E-4</v>
      </c>
      <c r="G53" s="12">
        <f t="shared" si="1"/>
        <v>3.3767569420637633E-2</v>
      </c>
    </row>
    <row r="54" spans="1:7" x14ac:dyDescent="0.3">
      <c r="A54" t="s">
        <v>88</v>
      </c>
      <c r="B54">
        <v>478.56</v>
      </c>
      <c r="C54">
        <v>278.77999999999997</v>
      </c>
      <c r="D54">
        <v>183.78</v>
      </c>
      <c r="E54" s="12">
        <f t="shared" si="1"/>
        <v>-1.0155749064057806E-2</v>
      </c>
      <c r="F54" s="12">
        <f t="shared" si="1"/>
        <v>2.697550624033429E-3</v>
      </c>
      <c r="G54" s="12">
        <f t="shared" si="1"/>
        <v>1.5751948267285654E-2</v>
      </c>
    </row>
    <row r="55" spans="1:7" x14ac:dyDescent="0.3">
      <c r="A55" t="s">
        <v>89</v>
      </c>
      <c r="B55">
        <v>492.02</v>
      </c>
      <c r="C55">
        <v>277.18</v>
      </c>
      <c r="D55">
        <v>184.97</v>
      </c>
      <c r="E55" s="12">
        <f t="shared" si="1"/>
        <v>2.8126044801069838E-2</v>
      </c>
      <c r="F55" s="12">
        <f t="shared" si="1"/>
        <v>-5.7392926321829796E-3</v>
      </c>
      <c r="G55" s="12">
        <f t="shared" si="1"/>
        <v>6.4751333115682375E-3</v>
      </c>
    </row>
    <row r="56" spans="1:7" x14ac:dyDescent="0.3">
      <c r="A56" t="s">
        <v>90</v>
      </c>
      <c r="B56">
        <v>491.02</v>
      </c>
      <c r="C56">
        <v>277.89</v>
      </c>
      <c r="D56">
        <v>185.55</v>
      </c>
      <c r="E56" s="12">
        <f t="shared" si="1"/>
        <v>-2.0324377057843179E-3</v>
      </c>
      <c r="F56" s="12">
        <f t="shared" si="1"/>
        <v>2.5615123746300927E-3</v>
      </c>
      <c r="G56" s="12">
        <f t="shared" si="1"/>
        <v>3.1356436178839875E-3</v>
      </c>
    </row>
    <row r="57" spans="1:7" x14ac:dyDescent="0.3">
      <c r="A57" t="s">
        <v>91</v>
      </c>
      <c r="B57">
        <v>483.16</v>
      </c>
      <c r="C57">
        <v>278.77999999999997</v>
      </c>
      <c r="D57">
        <v>182.41</v>
      </c>
      <c r="E57" s="12">
        <f t="shared" si="1"/>
        <v>-1.6007494603071049E-2</v>
      </c>
      <c r="F57" s="12">
        <f t="shared" si="1"/>
        <v>3.2027061067327889E-3</v>
      </c>
      <c r="G57" s="12">
        <f t="shared" si="1"/>
        <v>-1.6922662355160378E-2</v>
      </c>
    </row>
    <row r="58" spans="1:7" x14ac:dyDescent="0.3">
      <c r="A58" t="s">
        <v>92</v>
      </c>
      <c r="B58">
        <v>480.84</v>
      </c>
      <c r="C58">
        <v>280.7</v>
      </c>
      <c r="D58">
        <v>183.38</v>
      </c>
      <c r="E58" s="12">
        <f t="shared" si="1"/>
        <v>-4.8017219968541358E-3</v>
      </c>
      <c r="F58" s="12">
        <f t="shared" si="1"/>
        <v>6.8871511586197087E-3</v>
      </c>
      <c r="G58" s="12">
        <f t="shared" si="1"/>
        <v>5.3176909160681518E-3</v>
      </c>
    </row>
    <row r="59" spans="1:7" x14ac:dyDescent="0.3">
      <c r="A59" t="s">
        <v>93</v>
      </c>
      <c r="B59">
        <v>477.73</v>
      </c>
      <c r="C59">
        <v>284.14999999999998</v>
      </c>
      <c r="D59">
        <v>179.59</v>
      </c>
      <c r="E59" s="12">
        <f t="shared" si="1"/>
        <v>-6.4678479327842098E-3</v>
      </c>
      <c r="F59" s="12">
        <f t="shared" si="1"/>
        <v>1.2290701816886296E-2</v>
      </c>
      <c r="G59" s="12">
        <f t="shared" si="1"/>
        <v>-2.066746646308204E-2</v>
      </c>
    </row>
    <row r="60" spans="1:7" x14ac:dyDescent="0.3">
      <c r="A60" t="s">
        <v>94</v>
      </c>
      <c r="B60">
        <v>490</v>
      </c>
      <c r="C60">
        <v>286.19</v>
      </c>
      <c r="D60">
        <v>181.46</v>
      </c>
      <c r="E60" s="12">
        <f t="shared" si="1"/>
        <v>2.5683963745211758E-2</v>
      </c>
      <c r="F60" s="12">
        <f t="shared" si="1"/>
        <v>7.1793067042056347E-3</v>
      </c>
      <c r="G60" s="12">
        <f t="shared" si="1"/>
        <v>1.0412606492566479E-2</v>
      </c>
    </row>
    <row r="61" spans="1:7" x14ac:dyDescent="0.3">
      <c r="A61" t="s">
        <v>95</v>
      </c>
      <c r="B61">
        <v>486.74</v>
      </c>
      <c r="C61">
        <v>283.10000000000002</v>
      </c>
      <c r="D61">
        <v>179.92</v>
      </c>
      <c r="E61" s="12">
        <f t="shared" si="1"/>
        <v>-6.6530612244898313E-3</v>
      </c>
      <c r="F61" s="12">
        <f t="shared" si="1"/>
        <v>-1.0797022956776869E-2</v>
      </c>
      <c r="G61" s="12">
        <f t="shared" si="1"/>
        <v>-8.4867188361072987E-3</v>
      </c>
    </row>
    <row r="62" spans="1:7" x14ac:dyDescent="0.3">
      <c r="A62" t="s">
        <v>96</v>
      </c>
      <c r="B62">
        <v>492.01</v>
      </c>
      <c r="C62">
        <v>278.85000000000002</v>
      </c>
      <c r="D62">
        <v>177</v>
      </c>
      <c r="E62" s="12">
        <f t="shared" si="1"/>
        <v>1.0827135637095697E-2</v>
      </c>
      <c r="F62" s="12">
        <f t="shared" si="1"/>
        <v>-1.5012363122571482E-2</v>
      </c>
      <c r="G62" s="12">
        <f t="shared" si="1"/>
        <v>-1.6229435304579765E-2</v>
      </c>
    </row>
    <row r="63" spans="1:7" x14ac:dyDescent="0.3">
      <c r="A63" t="s">
        <v>97</v>
      </c>
      <c r="B63">
        <v>485.5</v>
      </c>
      <c r="C63">
        <v>277.55</v>
      </c>
      <c r="D63">
        <v>180.26</v>
      </c>
      <c r="E63" s="12">
        <f t="shared" si="1"/>
        <v>-1.3231438385398642E-2</v>
      </c>
      <c r="F63" s="12">
        <f t="shared" si="1"/>
        <v>-4.6620046620047262E-3</v>
      </c>
      <c r="G63" s="12">
        <f t="shared" si="1"/>
        <v>1.8418079096045092E-2</v>
      </c>
    </row>
    <row r="64" spans="1:7" x14ac:dyDescent="0.3">
      <c r="A64" t="s">
        <v>98</v>
      </c>
      <c r="B64">
        <v>476.99</v>
      </c>
      <c r="C64">
        <v>276.97000000000003</v>
      </c>
      <c r="D64">
        <v>177.82</v>
      </c>
      <c r="E64" s="12">
        <f t="shared" si="1"/>
        <v>-1.7528321318228568E-2</v>
      </c>
      <c r="F64" s="12">
        <f t="shared" si="1"/>
        <v>-2.0897135651233301E-3</v>
      </c>
      <c r="G64" s="12">
        <f t="shared" si="1"/>
        <v>-1.3536003550427167E-2</v>
      </c>
    </row>
    <row r="65" spans="1:7" x14ac:dyDescent="0.3">
      <c r="A65" t="s">
        <v>99</v>
      </c>
      <c r="B65">
        <v>474</v>
      </c>
      <c r="C65">
        <v>275.92</v>
      </c>
      <c r="D65">
        <v>182.55</v>
      </c>
      <c r="E65" s="12">
        <f t="shared" si="1"/>
        <v>-6.2684752300886659E-3</v>
      </c>
      <c r="F65" s="12">
        <f t="shared" si="1"/>
        <v>-3.7910242986605169E-3</v>
      </c>
      <c r="G65" s="12">
        <f t="shared" si="1"/>
        <v>2.6599932516027547E-2</v>
      </c>
    </row>
    <row r="66" spans="1:7" x14ac:dyDescent="0.3">
      <c r="A66" t="s">
        <v>100</v>
      </c>
      <c r="B66">
        <v>472.12</v>
      </c>
      <c r="C66">
        <v>271.49</v>
      </c>
      <c r="D66">
        <v>178.88</v>
      </c>
      <c r="E66" s="12">
        <f t="shared" si="1"/>
        <v>-3.966244725738366E-3</v>
      </c>
      <c r="F66" s="12">
        <f t="shared" si="1"/>
        <v>-1.6055378370542162E-2</v>
      </c>
      <c r="G66" s="12">
        <f t="shared" si="1"/>
        <v>-2.0104081073678559E-2</v>
      </c>
    </row>
    <row r="67" spans="1:7" x14ac:dyDescent="0.3">
      <c r="A67" t="s">
        <v>101</v>
      </c>
      <c r="B67">
        <v>478.43</v>
      </c>
      <c r="C67">
        <v>266.25</v>
      </c>
      <c r="D67">
        <v>180.64</v>
      </c>
      <c r="E67" s="12">
        <f t="shared" si="1"/>
        <v>1.3365246123866914E-2</v>
      </c>
      <c r="F67" s="12">
        <f t="shared" si="1"/>
        <v>-1.9300895060591627E-2</v>
      </c>
      <c r="G67" s="12">
        <f t="shared" si="1"/>
        <v>9.8389982110911323E-3</v>
      </c>
    </row>
    <row r="68" spans="1:7" x14ac:dyDescent="0.3">
      <c r="A68" t="s">
        <v>102</v>
      </c>
      <c r="B68">
        <v>487.12</v>
      </c>
      <c r="C68">
        <v>268.56</v>
      </c>
      <c r="D68">
        <v>186.52</v>
      </c>
      <c r="E68" s="12">
        <f t="shared" ref="E68:G131" si="14">B68/B67-1</f>
        <v>1.8163576698785544E-2</v>
      </c>
      <c r="F68" s="12">
        <f t="shared" si="14"/>
        <v>8.6760563380281486E-3</v>
      </c>
      <c r="G68" s="12">
        <f t="shared" si="14"/>
        <v>3.2550930026572278E-2</v>
      </c>
    </row>
    <row r="69" spans="1:7" x14ac:dyDescent="0.3">
      <c r="A69" t="s">
        <v>103</v>
      </c>
      <c r="B69">
        <v>493.79</v>
      </c>
      <c r="C69">
        <v>267.44</v>
      </c>
      <c r="D69">
        <v>181.36</v>
      </c>
      <c r="E69" s="12">
        <f t="shared" si="14"/>
        <v>1.3692724585317784E-2</v>
      </c>
      <c r="F69" s="12">
        <f t="shared" si="14"/>
        <v>-4.1703902293714901E-3</v>
      </c>
      <c r="G69" s="12">
        <f t="shared" si="14"/>
        <v>-2.7664593609264432E-2</v>
      </c>
    </row>
    <row r="70" spans="1:7" x14ac:dyDescent="0.3">
      <c r="A70" t="s">
        <v>104</v>
      </c>
      <c r="B70">
        <v>507.49</v>
      </c>
      <c r="C70">
        <v>267.45999999999998</v>
      </c>
      <c r="D70">
        <v>186.6</v>
      </c>
      <c r="E70" s="12">
        <f t="shared" si="14"/>
        <v>2.7744587780230479E-2</v>
      </c>
      <c r="F70" s="12">
        <f t="shared" si="14"/>
        <v>7.4783128926059206E-5</v>
      </c>
      <c r="G70" s="12">
        <f t="shared" si="14"/>
        <v>2.8892809880899817E-2</v>
      </c>
    </row>
    <row r="71" spans="1:7" x14ac:dyDescent="0.3">
      <c r="A71" t="s">
        <v>105</v>
      </c>
      <c r="B71">
        <v>510.18</v>
      </c>
      <c r="C71">
        <v>272.41000000000003</v>
      </c>
      <c r="D71">
        <v>190.17</v>
      </c>
      <c r="E71" s="12">
        <f t="shared" si="14"/>
        <v>5.3005970560995319E-3</v>
      </c>
      <c r="F71" s="12">
        <f t="shared" si="14"/>
        <v>1.8507440364914585E-2</v>
      </c>
      <c r="G71" s="12">
        <f t="shared" si="14"/>
        <v>1.9131832797427695E-2</v>
      </c>
    </row>
    <row r="72" spans="1:7" x14ac:dyDescent="0.3">
      <c r="A72" t="s">
        <v>106</v>
      </c>
      <c r="B72">
        <v>503.29</v>
      </c>
      <c r="C72">
        <v>272.95</v>
      </c>
      <c r="D72">
        <v>186.86</v>
      </c>
      <c r="E72" s="12">
        <f t="shared" si="14"/>
        <v>-1.3505037437766987E-2</v>
      </c>
      <c r="F72" s="12">
        <f t="shared" si="14"/>
        <v>1.9823060827428574E-3</v>
      </c>
      <c r="G72" s="12">
        <f t="shared" si="14"/>
        <v>-1.7405479307987415E-2</v>
      </c>
    </row>
    <row r="73" spans="1:7" x14ac:dyDescent="0.3">
      <c r="A73" t="s">
        <v>107</v>
      </c>
      <c r="B73">
        <v>511.14</v>
      </c>
      <c r="C73">
        <v>273.47000000000003</v>
      </c>
      <c r="D73">
        <v>193.8</v>
      </c>
      <c r="E73" s="12">
        <f t="shared" si="14"/>
        <v>1.559736930994049E-2</v>
      </c>
      <c r="F73" s="12">
        <f t="shared" si="14"/>
        <v>1.9051108261587402E-3</v>
      </c>
      <c r="G73" s="12">
        <f t="shared" si="14"/>
        <v>3.7140104891362435E-2</v>
      </c>
    </row>
    <row r="74" spans="1:7" x14ac:dyDescent="0.3">
      <c r="A74" t="s">
        <v>108</v>
      </c>
      <c r="B74">
        <v>508.68</v>
      </c>
      <c r="C74">
        <v>275.25</v>
      </c>
      <c r="D74">
        <v>193.16</v>
      </c>
      <c r="E74" s="12">
        <f t="shared" si="14"/>
        <v>-4.8127714520482812E-3</v>
      </c>
      <c r="F74" s="12">
        <f t="shared" si="14"/>
        <v>6.5089406516252168E-3</v>
      </c>
      <c r="G74" s="12">
        <f t="shared" si="14"/>
        <v>-3.3023735810113752E-3</v>
      </c>
    </row>
    <row r="75" spans="1:7" x14ac:dyDescent="0.3">
      <c r="A75" t="s">
        <v>109</v>
      </c>
      <c r="B75">
        <v>506</v>
      </c>
      <c r="C75">
        <v>269.43</v>
      </c>
      <c r="D75">
        <v>199.05</v>
      </c>
      <c r="E75" s="12">
        <f t="shared" si="14"/>
        <v>-5.2685381772430429E-3</v>
      </c>
      <c r="F75" s="12">
        <f t="shared" si="14"/>
        <v>-2.1144414168937309E-2</v>
      </c>
      <c r="G75" s="12">
        <f t="shared" si="14"/>
        <v>3.0492855663698526E-2</v>
      </c>
    </row>
    <row r="76" spans="1:7" x14ac:dyDescent="0.3">
      <c r="A76" t="s">
        <v>110</v>
      </c>
      <c r="B76">
        <v>496.82</v>
      </c>
      <c r="C76">
        <v>268.47000000000003</v>
      </c>
      <c r="D76">
        <v>188.15</v>
      </c>
      <c r="E76" s="12">
        <f t="shared" si="14"/>
        <v>-1.8142292490118561E-2</v>
      </c>
      <c r="F76" s="12">
        <f t="shared" si="14"/>
        <v>-3.5630776082841153E-3</v>
      </c>
      <c r="G76" s="12">
        <f t="shared" si="14"/>
        <v>-5.4760110524993744E-2</v>
      </c>
    </row>
    <row r="77" spans="1:7" x14ac:dyDescent="0.3">
      <c r="A77" t="s">
        <v>111</v>
      </c>
      <c r="B77">
        <v>497.1</v>
      </c>
      <c r="C77">
        <v>269.77</v>
      </c>
      <c r="D77">
        <v>188.08</v>
      </c>
      <c r="E77" s="12">
        <f t="shared" si="14"/>
        <v>5.6358439676351679E-4</v>
      </c>
      <c r="F77" s="12">
        <f t="shared" si="14"/>
        <v>4.8422542555963677E-3</v>
      </c>
      <c r="G77" s="12">
        <f t="shared" si="14"/>
        <v>-3.7204358224818268E-4</v>
      </c>
    </row>
    <row r="78" spans="1:7" x14ac:dyDescent="0.3">
      <c r="A78" t="s">
        <v>112</v>
      </c>
      <c r="B78">
        <v>507.16</v>
      </c>
      <c r="C78">
        <v>270.14</v>
      </c>
      <c r="D78">
        <v>195.21</v>
      </c>
      <c r="E78" s="12">
        <f t="shared" si="14"/>
        <v>2.0237376785354977E-2</v>
      </c>
      <c r="F78" s="12">
        <f t="shared" si="14"/>
        <v>1.3715387181674199E-3</v>
      </c>
      <c r="G78" s="12">
        <f t="shared" si="14"/>
        <v>3.7909400255210501E-2</v>
      </c>
    </row>
    <row r="79" spans="1:7" x14ac:dyDescent="0.3">
      <c r="A79" t="s">
        <v>113</v>
      </c>
      <c r="B79">
        <v>514.33000000000004</v>
      </c>
      <c r="C79">
        <v>270.04000000000002</v>
      </c>
      <c r="D79">
        <v>198.69</v>
      </c>
      <c r="E79" s="12">
        <f t="shared" si="14"/>
        <v>1.4137550279990529E-2</v>
      </c>
      <c r="F79" s="12">
        <f t="shared" si="14"/>
        <v>-3.7017842600117756E-4</v>
      </c>
      <c r="G79" s="12">
        <f t="shared" si="14"/>
        <v>1.7826955586291549E-2</v>
      </c>
    </row>
    <row r="80" spans="1:7" x14ac:dyDescent="0.3">
      <c r="A80" t="s">
        <v>114</v>
      </c>
      <c r="B80">
        <v>517.03</v>
      </c>
      <c r="C80">
        <v>269.05</v>
      </c>
      <c r="D80">
        <v>206.88</v>
      </c>
      <c r="E80" s="12">
        <f t="shared" si="14"/>
        <v>5.2495479555925151E-3</v>
      </c>
      <c r="F80" s="12">
        <f t="shared" si="14"/>
        <v>-3.6661235372538181E-3</v>
      </c>
      <c r="G80" s="12">
        <f t="shared" si="14"/>
        <v>4.1219990940661422E-2</v>
      </c>
    </row>
    <row r="81" spans="1:7" x14ac:dyDescent="0.3">
      <c r="A81" t="s">
        <v>115</v>
      </c>
      <c r="B81">
        <v>517.80999999999995</v>
      </c>
      <c r="C81">
        <v>270.37</v>
      </c>
      <c r="D81">
        <v>202.49</v>
      </c>
      <c r="E81" s="12">
        <f t="shared" si="14"/>
        <v>1.5086165212849778E-3</v>
      </c>
      <c r="F81" s="12">
        <f t="shared" si="14"/>
        <v>4.9061512729975387E-3</v>
      </c>
      <c r="G81" s="12">
        <f t="shared" si="14"/>
        <v>-2.1220030935808154E-2</v>
      </c>
    </row>
    <row r="82" spans="1:7" x14ac:dyDescent="0.3">
      <c r="A82" t="s">
        <v>116</v>
      </c>
      <c r="B82">
        <v>525.76</v>
      </c>
      <c r="C82">
        <v>271.39999999999998</v>
      </c>
      <c r="D82">
        <v>202.89</v>
      </c>
      <c r="E82" s="12">
        <f t="shared" si="14"/>
        <v>1.5353121801433112E-2</v>
      </c>
      <c r="F82" s="12">
        <f t="shared" si="14"/>
        <v>3.8095942597180521E-3</v>
      </c>
      <c r="G82" s="12">
        <f t="shared" si="14"/>
        <v>1.9754061928982658E-3</v>
      </c>
    </row>
    <row r="83" spans="1:7" x14ac:dyDescent="0.3">
      <c r="A83" t="s">
        <v>117</v>
      </c>
      <c r="B83">
        <v>541.54999999999995</v>
      </c>
      <c r="C83">
        <v>269.7</v>
      </c>
      <c r="D83">
        <v>207.04</v>
      </c>
      <c r="E83" s="12">
        <f t="shared" si="14"/>
        <v>3.003271454656109E-2</v>
      </c>
      <c r="F83" s="12">
        <f t="shared" si="14"/>
        <v>-6.2638172439203332E-3</v>
      </c>
      <c r="G83" s="12">
        <f t="shared" si="14"/>
        <v>2.0454433436837727E-2</v>
      </c>
    </row>
    <row r="84" spans="1:7" x14ac:dyDescent="0.3">
      <c r="A84" t="s">
        <v>118</v>
      </c>
      <c r="B84">
        <v>542.07000000000005</v>
      </c>
      <c r="C84">
        <v>269</v>
      </c>
      <c r="D84">
        <v>201.03</v>
      </c>
      <c r="E84" s="12">
        <f t="shared" si="14"/>
        <v>9.6020681377551043E-4</v>
      </c>
      <c r="F84" s="12">
        <f t="shared" si="14"/>
        <v>-2.5954764553206555E-3</v>
      </c>
      <c r="G84" s="12">
        <f t="shared" si="14"/>
        <v>-2.9028207109737192E-2</v>
      </c>
    </row>
    <row r="85" spans="1:7" x14ac:dyDescent="0.3">
      <c r="A85" t="s">
        <v>119</v>
      </c>
      <c r="B85">
        <v>531.52</v>
      </c>
      <c r="C85">
        <v>268.81</v>
      </c>
      <c r="D85">
        <v>191.49</v>
      </c>
      <c r="E85" s="12">
        <f t="shared" si="14"/>
        <v>-1.9462431051340379E-2</v>
      </c>
      <c r="F85" s="12">
        <f t="shared" si="14"/>
        <v>-7.0631970260226495E-4</v>
      </c>
      <c r="G85" s="12">
        <f t="shared" si="14"/>
        <v>-4.7455603641247568E-2</v>
      </c>
    </row>
    <row r="86" spans="1:7" x14ac:dyDescent="0.3">
      <c r="A86" t="s">
        <v>120</v>
      </c>
      <c r="B86">
        <v>523.61</v>
      </c>
      <c r="C86">
        <v>262.82</v>
      </c>
      <c r="D86">
        <v>186.26</v>
      </c>
      <c r="E86" s="12">
        <f t="shared" si="14"/>
        <v>-1.4881848284166055E-2</v>
      </c>
      <c r="F86" s="12">
        <f t="shared" si="14"/>
        <v>-2.2283397195044907E-2</v>
      </c>
      <c r="G86" s="12">
        <f t="shared" si="14"/>
        <v>-2.7312131181784993E-2</v>
      </c>
    </row>
    <row r="87" spans="1:7" x14ac:dyDescent="0.3">
      <c r="A87" t="s">
        <v>121</v>
      </c>
      <c r="B87">
        <v>520.55999999999995</v>
      </c>
      <c r="C87">
        <v>259.58</v>
      </c>
      <c r="D87">
        <v>182.16</v>
      </c>
      <c r="E87" s="12">
        <f t="shared" si="14"/>
        <v>-5.8249460476309523E-3</v>
      </c>
      <c r="F87" s="12">
        <f t="shared" si="14"/>
        <v>-1.2327828932349183E-2</v>
      </c>
      <c r="G87" s="12">
        <f t="shared" si="14"/>
        <v>-2.2012240953505846E-2</v>
      </c>
    </row>
    <row r="88" spans="1:7" x14ac:dyDescent="0.3">
      <c r="A88" t="s">
        <v>122</v>
      </c>
      <c r="B88">
        <v>520.54</v>
      </c>
      <c r="C88">
        <v>258.45</v>
      </c>
      <c r="D88">
        <v>180.28</v>
      </c>
      <c r="E88" s="12">
        <f t="shared" si="14"/>
        <v>-3.8420162901453558E-5</v>
      </c>
      <c r="F88" s="12">
        <f t="shared" si="14"/>
        <v>-4.3531859157099895E-3</v>
      </c>
      <c r="G88" s="12">
        <f t="shared" si="14"/>
        <v>-1.0320597277118981E-2</v>
      </c>
    </row>
    <row r="89" spans="1:7" x14ac:dyDescent="0.3">
      <c r="A89" t="s">
        <v>123</v>
      </c>
      <c r="B89">
        <v>517.66</v>
      </c>
      <c r="C89">
        <v>262.77</v>
      </c>
      <c r="D89">
        <v>181.16</v>
      </c>
      <c r="E89" s="12">
        <f t="shared" si="14"/>
        <v>-5.5327160256656294E-3</v>
      </c>
      <c r="F89" s="12">
        <f t="shared" si="14"/>
        <v>1.6715031921067824E-2</v>
      </c>
      <c r="G89" s="12">
        <f t="shared" si="14"/>
        <v>4.881295762147797E-3</v>
      </c>
    </row>
    <row r="90" spans="1:7" x14ac:dyDescent="0.3">
      <c r="A90" t="s">
        <v>124</v>
      </c>
      <c r="B90">
        <v>516.79</v>
      </c>
      <c r="C90">
        <v>262.24</v>
      </c>
      <c r="D90">
        <v>182.64</v>
      </c>
      <c r="E90" s="12">
        <f t="shared" si="14"/>
        <v>-1.6806398021868008E-3</v>
      </c>
      <c r="F90" s="12">
        <f t="shared" si="14"/>
        <v>-2.0169730182287848E-3</v>
      </c>
      <c r="G90" s="12">
        <f t="shared" si="14"/>
        <v>8.1695738573634991E-3</v>
      </c>
    </row>
    <row r="91" spans="1:7" x14ac:dyDescent="0.3">
      <c r="A91" t="s">
        <v>125</v>
      </c>
      <c r="B91">
        <v>513.58000000000004</v>
      </c>
      <c r="C91">
        <v>252.29</v>
      </c>
      <c r="D91">
        <v>183.22</v>
      </c>
      <c r="E91" s="12">
        <f t="shared" si="14"/>
        <v>-6.2114204996225331E-3</v>
      </c>
      <c r="F91" s="12">
        <f t="shared" si="14"/>
        <v>-3.7942342892007375E-2</v>
      </c>
      <c r="G91" s="12">
        <f t="shared" si="14"/>
        <v>3.1756460797196517E-3</v>
      </c>
    </row>
    <row r="92" spans="1:7" x14ac:dyDescent="0.3">
      <c r="A92" t="s">
        <v>126</v>
      </c>
      <c r="B92">
        <v>511.61</v>
      </c>
      <c r="C92">
        <v>247.45</v>
      </c>
      <c r="D92">
        <v>181.81</v>
      </c>
      <c r="E92" s="12">
        <f t="shared" si="14"/>
        <v>-3.8358191518361728E-3</v>
      </c>
      <c r="F92" s="12">
        <f t="shared" si="14"/>
        <v>-1.9184272067858443E-2</v>
      </c>
      <c r="G92" s="12">
        <f t="shared" si="14"/>
        <v>-7.6956664119637308E-3</v>
      </c>
    </row>
    <row r="93" spans="1:7" x14ac:dyDescent="0.3">
      <c r="A93" t="s">
        <v>127</v>
      </c>
      <c r="B93">
        <v>513.42999999999995</v>
      </c>
      <c r="C93">
        <v>249.34</v>
      </c>
      <c r="D93">
        <v>179.83</v>
      </c>
      <c r="E93" s="12">
        <f t="shared" si="14"/>
        <v>3.5573972361757633E-3</v>
      </c>
      <c r="F93" s="12">
        <f t="shared" si="14"/>
        <v>7.637906647807613E-3</v>
      </c>
      <c r="G93" s="12">
        <f t="shared" si="14"/>
        <v>-1.0890490072053227E-2</v>
      </c>
    </row>
    <row r="94" spans="1:7" x14ac:dyDescent="0.3">
      <c r="A94" t="s">
        <v>128</v>
      </c>
      <c r="B94">
        <v>513.57000000000005</v>
      </c>
      <c r="C94">
        <v>247.77</v>
      </c>
      <c r="D94">
        <v>180.03</v>
      </c>
      <c r="E94" s="12">
        <f t="shared" si="14"/>
        <v>2.7267592466362345E-4</v>
      </c>
      <c r="F94" s="12">
        <f t="shared" si="14"/>
        <v>-6.296623084944275E-3</v>
      </c>
      <c r="G94" s="12">
        <f t="shared" si="14"/>
        <v>1.1121614858475848E-3</v>
      </c>
    </row>
    <row r="95" spans="1:7" x14ac:dyDescent="0.3">
      <c r="A95" t="s">
        <v>129</v>
      </c>
      <c r="B95">
        <v>514.04999999999995</v>
      </c>
      <c r="C95">
        <v>247.66</v>
      </c>
      <c r="D95">
        <v>188.32</v>
      </c>
      <c r="E95" s="12">
        <f t="shared" si="14"/>
        <v>9.3463403236149212E-4</v>
      </c>
      <c r="F95" s="12">
        <f t="shared" si="14"/>
        <v>-4.4396012430891751E-4</v>
      </c>
      <c r="G95" s="12">
        <f t="shared" si="14"/>
        <v>4.604788090873746E-2</v>
      </c>
    </row>
    <row r="96" spans="1:7" x14ac:dyDescent="0.3">
      <c r="A96" t="s">
        <v>130</v>
      </c>
      <c r="B96">
        <v>510.96</v>
      </c>
      <c r="C96">
        <v>245.27</v>
      </c>
      <c r="D96">
        <v>183.16</v>
      </c>
      <c r="E96" s="12">
        <f t="shared" si="14"/>
        <v>-6.0110884155237798E-3</v>
      </c>
      <c r="F96" s="12">
        <f t="shared" si="14"/>
        <v>-9.6503270612936509E-3</v>
      </c>
      <c r="G96" s="12">
        <f t="shared" si="14"/>
        <v>-2.7400169923534445E-2</v>
      </c>
    </row>
    <row r="97" spans="1:7" x14ac:dyDescent="0.3">
      <c r="A97" t="s">
        <v>131</v>
      </c>
      <c r="B97">
        <v>522.4</v>
      </c>
      <c r="C97">
        <v>254.04</v>
      </c>
      <c r="D97">
        <v>192.57</v>
      </c>
      <c r="E97" s="12">
        <f t="shared" si="14"/>
        <v>2.2389228119618076E-2</v>
      </c>
      <c r="F97" s="12">
        <f t="shared" si="14"/>
        <v>3.5756513230317477E-2</v>
      </c>
      <c r="G97" s="12">
        <f t="shared" si="14"/>
        <v>5.1375846254640756E-2</v>
      </c>
    </row>
    <row r="98" spans="1:7" x14ac:dyDescent="0.3">
      <c r="A98" t="s">
        <v>132</v>
      </c>
      <c r="B98">
        <v>524.85</v>
      </c>
      <c r="C98">
        <v>258.06</v>
      </c>
      <c r="D98">
        <v>189.11</v>
      </c>
      <c r="E98" s="12">
        <f t="shared" si="14"/>
        <v>4.6898928024503572E-3</v>
      </c>
      <c r="F98" s="12">
        <f t="shared" si="14"/>
        <v>1.5824279641001526E-2</v>
      </c>
      <c r="G98" s="12">
        <f t="shared" si="14"/>
        <v>-1.7967492340447477E-2</v>
      </c>
    </row>
    <row r="99" spans="1:7" x14ac:dyDescent="0.3">
      <c r="A99" t="s">
        <v>133</v>
      </c>
      <c r="B99">
        <v>523.98</v>
      </c>
      <c r="C99">
        <v>256.48</v>
      </c>
      <c r="D99">
        <v>185.04</v>
      </c>
      <c r="E99" s="12">
        <f t="shared" si="14"/>
        <v>-1.6576164618462563E-3</v>
      </c>
      <c r="F99" s="12">
        <f t="shared" si="14"/>
        <v>-6.1226071456249587E-3</v>
      </c>
      <c r="G99" s="12">
        <f t="shared" si="14"/>
        <v>-2.1521865580878985E-2</v>
      </c>
    </row>
    <row r="100" spans="1:7" x14ac:dyDescent="0.3">
      <c r="A100" t="s">
        <v>134</v>
      </c>
      <c r="B100">
        <v>528.57000000000005</v>
      </c>
      <c r="C100">
        <v>256.69</v>
      </c>
      <c r="D100">
        <v>185.54</v>
      </c>
      <c r="E100" s="12">
        <f t="shared" si="14"/>
        <v>8.7598763311578232E-3</v>
      </c>
      <c r="F100" s="12">
        <f t="shared" si="14"/>
        <v>8.1877729257628928E-4</v>
      </c>
      <c r="G100" s="12">
        <f t="shared" si="14"/>
        <v>2.7021184608733151E-3</v>
      </c>
    </row>
    <row r="101" spans="1:7" x14ac:dyDescent="0.3">
      <c r="A101" t="s">
        <v>135</v>
      </c>
      <c r="B101">
        <v>517.35</v>
      </c>
      <c r="C101">
        <v>258.02</v>
      </c>
      <c r="D101">
        <v>187.62</v>
      </c>
      <c r="E101" s="12">
        <f t="shared" si="14"/>
        <v>-2.1227084397525409E-2</v>
      </c>
      <c r="F101" s="12">
        <f t="shared" si="14"/>
        <v>5.1813471502590858E-3</v>
      </c>
      <c r="G101" s="12">
        <f t="shared" si="14"/>
        <v>1.1210520642449096E-2</v>
      </c>
    </row>
    <row r="102" spans="1:7" x14ac:dyDescent="0.3">
      <c r="A102" t="s">
        <v>136</v>
      </c>
      <c r="B102">
        <v>515.74</v>
      </c>
      <c r="C102">
        <v>257.13</v>
      </c>
      <c r="D102">
        <v>188.89</v>
      </c>
      <c r="E102" s="12">
        <f t="shared" si="14"/>
        <v>-3.1120131439065224E-3</v>
      </c>
      <c r="F102" s="12">
        <f t="shared" si="14"/>
        <v>-3.4493450120145486E-3</v>
      </c>
      <c r="G102" s="12">
        <f t="shared" si="14"/>
        <v>6.7690011725827226E-3</v>
      </c>
    </row>
    <row r="103" spans="1:7" x14ac:dyDescent="0.3">
      <c r="A103" t="s">
        <v>137</v>
      </c>
      <c r="B103">
        <v>519.71</v>
      </c>
      <c r="C103">
        <v>255.45</v>
      </c>
      <c r="D103">
        <v>187.24</v>
      </c>
      <c r="E103" s="12">
        <f t="shared" si="14"/>
        <v>7.6976771241323849E-3</v>
      </c>
      <c r="F103" s="12">
        <f t="shared" si="14"/>
        <v>-6.5336600163341529E-3</v>
      </c>
      <c r="G103" s="12">
        <f t="shared" si="14"/>
        <v>-8.7352427338661665E-3</v>
      </c>
    </row>
    <row r="104" spans="1:7" x14ac:dyDescent="0.3">
      <c r="A104" t="s">
        <v>138</v>
      </c>
      <c r="B104">
        <v>517.95000000000005</v>
      </c>
      <c r="C104">
        <v>254.63</v>
      </c>
      <c r="D104">
        <v>186.58</v>
      </c>
      <c r="E104" s="12">
        <f t="shared" si="14"/>
        <v>-3.3865040118526979E-3</v>
      </c>
      <c r="F104" s="12">
        <f t="shared" si="14"/>
        <v>-3.2100215306322122E-3</v>
      </c>
      <c r="G104" s="12">
        <f t="shared" si="14"/>
        <v>-3.5248878444776865E-3</v>
      </c>
    </row>
    <row r="105" spans="1:7" x14ac:dyDescent="0.3">
      <c r="A105" t="s">
        <v>139</v>
      </c>
      <c r="B105">
        <v>514.6</v>
      </c>
      <c r="C105">
        <v>254.43</v>
      </c>
      <c r="D105">
        <v>181.85</v>
      </c>
      <c r="E105" s="12">
        <f t="shared" si="14"/>
        <v>-6.4678057727580729E-3</v>
      </c>
      <c r="F105" s="12">
        <f t="shared" si="14"/>
        <v>-7.8545340297686561E-4</v>
      </c>
      <c r="G105" s="12">
        <f t="shared" si="14"/>
        <v>-2.5351055847357751E-2</v>
      </c>
    </row>
    <row r="106" spans="1:7" x14ac:dyDescent="0.3">
      <c r="A106" t="s">
        <v>140</v>
      </c>
      <c r="B106">
        <v>511.46</v>
      </c>
      <c r="C106">
        <v>255.46</v>
      </c>
      <c r="D106">
        <v>178.19</v>
      </c>
      <c r="E106" s="12">
        <f t="shared" si="14"/>
        <v>-6.1018266614847327E-3</v>
      </c>
      <c r="F106" s="12">
        <f t="shared" si="14"/>
        <v>4.0482647486539403E-3</v>
      </c>
      <c r="G106" s="12">
        <f t="shared" si="14"/>
        <v>-2.0126477866373338E-2</v>
      </c>
    </row>
    <row r="107" spans="1:7" x14ac:dyDescent="0.3">
      <c r="A107" t="s">
        <v>141</v>
      </c>
      <c r="B107">
        <v>507.03</v>
      </c>
      <c r="C107">
        <v>256.87</v>
      </c>
      <c r="D107">
        <v>177.69</v>
      </c>
      <c r="E107" s="12">
        <f t="shared" si="14"/>
        <v>-8.6614789035310835E-3</v>
      </c>
      <c r="F107" s="12">
        <f t="shared" si="14"/>
        <v>5.5194551006028103E-3</v>
      </c>
      <c r="G107" s="12">
        <f t="shared" si="14"/>
        <v>-2.8059936023345777E-3</v>
      </c>
    </row>
    <row r="108" spans="1:7" x14ac:dyDescent="0.3">
      <c r="A108" t="s">
        <v>142</v>
      </c>
      <c r="B108">
        <v>510.15</v>
      </c>
      <c r="C108">
        <v>252.31</v>
      </c>
      <c r="D108">
        <v>176.97</v>
      </c>
      <c r="E108" s="12">
        <f t="shared" si="14"/>
        <v>6.1534820424826719E-3</v>
      </c>
      <c r="F108" s="12">
        <f t="shared" si="14"/>
        <v>-1.7752170358547148E-2</v>
      </c>
      <c r="G108" s="12">
        <f t="shared" si="14"/>
        <v>-4.0520006753334004E-3</v>
      </c>
    </row>
    <row r="109" spans="1:7" x14ac:dyDescent="0.3">
      <c r="A109" t="s">
        <v>143</v>
      </c>
      <c r="B109">
        <v>509.23</v>
      </c>
      <c r="C109">
        <v>254.43</v>
      </c>
      <c r="D109">
        <v>178.43</v>
      </c>
      <c r="E109" s="12">
        <f t="shared" si="14"/>
        <v>-1.8033911594628194E-3</v>
      </c>
      <c r="F109" s="12">
        <f t="shared" si="14"/>
        <v>8.4023621735167531E-3</v>
      </c>
      <c r="G109" s="12">
        <f t="shared" si="14"/>
        <v>8.249985873311827E-3</v>
      </c>
    </row>
    <row r="110" spans="1:7" x14ac:dyDescent="0.3">
      <c r="A110" t="s">
        <v>144</v>
      </c>
      <c r="B110">
        <v>514.45000000000005</v>
      </c>
      <c r="C110">
        <v>256.08</v>
      </c>
      <c r="D110">
        <v>183.61</v>
      </c>
      <c r="E110" s="12">
        <f t="shared" si="14"/>
        <v>1.0250770771557116E-2</v>
      </c>
      <c r="F110" s="12">
        <f t="shared" si="14"/>
        <v>6.4850843060959562E-3</v>
      </c>
      <c r="G110" s="12">
        <f t="shared" si="14"/>
        <v>2.9030992546096535E-2</v>
      </c>
    </row>
    <row r="111" spans="1:7" x14ac:dyDescent="0.3">
      <c r="A111" t="s">
        <v>145</v>
      </c>
      <c r="B111">
        <v>517.92999999999995</v>
      </c>
      <c r="C111">
        <v>245.5</v>
      </c>
      <c r="D111">
        <v>176.67</v>
      </c>
      <c r="E111" s="12">
        <f t="shared" si="14"/>
        <v>6.7645057828746857E-3</v>
      </c>
      <c r="F111" s="12">
        <f t="shared" si="14"/>
        <v>-4.1315213995626321E-2</v>
      </c>
      <c r="G111" s="12">
        <f t="shared" si="14"/>
        <v>-3.7797505582484736E-2</v>
      </c>
    </row>
    <row r="112" spans="1:7" x14ac:dyDescent="0.3">
      <c r="A112" t="s">
        <v>146</v>
      </c>
      <c r="B112">
        <v>508.45</v>
      </c>
      <c r="C112">
        <v>237.88</v>
      </c>
      <c r="D112">
        <v>176.24</v>
      </c>
      <c r="E112" s="12">
        <f t="shared" si="14"/>
        <v>-1.8303631764910233E-2</v>
      </c>
      <c r="F112" s="12">
        <f t="shared" si="14"/>
        <v>-3.1038696537678212E-2</v>
      </c>
      <c r="G112" s="12">
        <f t="shared" si="14"/>
        <v>-2.4339163412009368E-3</v>
      </c>
    </row>
    <row r="113" spans="1:7" x14ac:dyDescent="0.3">
      <c r="A113" t="s">
        <v>147</v>
      </c>
      <c r="B113">
        <v>510.02</v>
      </c>
      <c r="C113">
        <v>238.99</v>
      </c>
      <c r="D113">
        <v>170.29</v>
      </c>
      <c r="E113" s="12">
        <f t="shared" si="14"/>
        <v>3.0878159111022985E-3</v>
      </c>
      <c r="F113" s="12">
        <f t="shared" si="14"/>
        <v>4.6662182613081971E-3</v>
      </c>
      <c r="G113" s="12">
        <f t="shared" si="14"/>
        <v>-3.3760780753518072E-2</v>
      </c>
    </row>
    <row r="114" spans="1:7" x14ac:dyDescent="0.3">
      <c r="A114" t="s">
        <v>148</v>
      </c>
      <c r="B114">
        <v>509.04</v>
      </c>
      <c r="C114">
        <v>238.15</v>
      </c>
      <c r="D114">
        <v>174.88</v>
      </c>
      <c r="E114" s="12">
        <f t="shared" si="14"/>
        <v>-1.9214932747734226E-3</v>
      </c>
      <c r="F114" s="12">
        <f t="shared" si="14"/>
        <v>-3.5147914138666803E-3</v>
      </c>
      <c r="G114" s="12">
        <f t="shared" si="14"/>
        <v>2.6954019613600444E-2</v>
      </c>
    </row>
    <row r="115" spans="1:7" x14ac:dyDescent="0.3">
      <c r="A115" t="s">
        <v>149</v>
      </c>
      <c r="B115">
        <v>515.36</v>
      </c>
      <c r="C115">
        <v>236.7</v>
      </c>
      <c r="D115">
        <v>177.75</v>
      </c>
      <c r="E115" s="12">
        <f t="shared" si="14"/>
        <v>1.2415527267012338E-2</v>
      </c>
      <c r="F115" s="12">
        <f t="shared" si="14"/>
        <v>-6.0885996220869654E-3</v>
      </c>
      <c r="G115" s="12">
        <f t="shared" si="14"/>
        <v>1.6411253430923978E-2</v>
      </c>
    </row>
    <row r="116" spans="1:7" x14ac:dyDescent="0.3">
      <c r="A116" t="s">
        <v>150</v>
      </c>
      <c r="B116">
        <v>509.9</v>
      </c>
      <c r="C116">
        <v>234.07</v>
      </c>
      <c r="D116">
        <v>177.82</v>
      </c>
      <c r="E116" s="12">
        <f t="shared" si="14"/>
        <v>-1.0594535858429177E-2</v>
      </c>
      <c r="F116" s="12">
        <f t="shared" si="14"/>
        <v>-1.1111111111111072E-2</v>
      </c>
      <c r="G116" s="12">
        <f t="shared" si="14"/>
        <v>3.938115330519576E-4</v>
      </c>
    </row>
    <row r="117" spans="1:7" x14ac:dyDescent="0.3">
      <c r="A117" t="s">
        <v>151</v>
      </c>
      <c r="B117">
        <v>501.01</v>
      </c>
      <c r="C117">
        <v>230.03</v>
      </c>
      <c r="D117">
        <v>177.17</v>
      </c>
      <c r="E117" s="12">
        <f t="shared" si="14"/>
        <v>-1.7434791135516714E-2</v>
      </c>
      <c r="F117" s="12">
        <f t="shared" si="14"/>
        <v>-1.7259794078694379E-2</v>
      </c>
      <c r="G117" s="12">
        <f t="shared" si="14"/>
        <v>-3.6553818468114674E-3</v>
      </c>
    </row>
    <row r="118" spans="1:7" x14ac:dyDescent="0.3">
      <c r="A118" t="s">
        <v>152</v>
      </c>
      <c r="B118">
        <v>500.37</v>
      </c>
      <c r="C118">
        <v>226.79</v>
      </c>
      <c r="D118">
        <v>177.33</v>
      </c>
      <c r="E118" s="12">
        <f t="shared" si="14"/>
        <v>-1.277419612382924E-3</v>
      </c>
      <c r="F118" s="12">
        <f t="shared" si="14"/>
        <v>-1.4085119332261087E-2</v>
      </c>
      <c r="G118" s="12">
        <f t="shared" si="14"/>
        <v>9.030874301518832E-4</v>
      </c>
    </row>
    <row r="119" spans="1:7" x14ac:dyDescent="0.3">
      <c r="A119" t="s">
        <v>153</v>
      </c>
      <c r="B119">
        <v>498.41</v>
      </c>
      <c r="C119">
        <v>234.35</v>
      </c>
      <c r="D119">
        <v>170.76</v>
      </c>
      <c r="E119" s="12">
        <f t="shared" si="14"/>
        <v>-3.9171013450046699E-3</v>
      </c>
      <c r="F119" s="12">
        <f t="shared" si="14"/>
        <v>3.3334803121830792E-2</v>
      </c>
      <c r="G119" s="12">
        <f t="shared" si="14"/>
        <v>-3.7049568600913685E-2</v>
      </c>
    </row>
    <row r="120" spans="1:7" x14ac:dyDescent="0.3">
      <c r="A120" t="s">
        <v>154</v>
      </c>
      <c r="B120">
        <v>498.2</v>
      </c>
      <c r="C120">
        <v>237.88</v>
      </c>
      <c r="D120">
        <v>168.31</v>
      </c>
      <c r="E120" s="12">
        <f t="shared" si="14"/>
        <v>-4.2133986075731933E-4</v>
      </c>
      <c r="F120" s="12">
        <f t="shared" si="14"/>
        <v>1.5062940046938422E-2</v>
      </c>
      <c r="G120" s="12">
        <f t="shared" si="14"/>
        <v>-1.4347622394003223E-2</v>
      </c>
    </row>
    <row r="121" spans="1:7" x14ac:dyDescent="0.3">
      <c r="A121" t="s">
        <v>155</v>
      </c>
      <c r="B121">
        <v>495</v>
      </c>
      <c r="C121">
        <v>239.69</v>
      </c>
      <c r="D121">
        <v>167.02</v>
      </c>
      <c r="E121" s="12">
        <f t="shared" si="14"/>
        <v>-6.4231232436772201E-3</v>
      </c>
      <c r="F121" s="12">
        <f t="shared" si="14"/>
        <v>7.6088784260972542E-3</v>
      </c>
      <c r="G121" s="12">
        <f t="shared" si="14"/>
        <v>-7.6644287326955718E-3</v>
      </c>
    </row>
    <row r="122" spans="1:7" x14ac:dyDescent="0.3">
      <c r="A122" t="s">
        <v>156</v>
      </c>
      <c r="B122">
        <v>507.97</v>
      </c>
      <c r="C122">
        <v>239.78</v>
      </c>
      <c r="D122">
        <v>171.66</v>
      </c>
      <c r="E122" s="12">
        <f t="shared" si="14"/>
        <v>2.6202020202020337E-2</v>
      </c>
      <c r="F122" s="12">
        <f t="shared" si="14"/>
        <v>3.7548500146034058E-4</v>
      </c>
      <c r="G122" s="12">
        <f t="shared" si="14"/>
        <v>2.7781104059394046E-2</v>
      </c>
    </row>
    <row r="123" spans="1:7" x14ac:dyDescent="0.3">
      <c r="A123" t="s">
        <v>157</v>
      </c>
      <c r="B123">
        <v>505.35</v>
      </c>
      <c r="C123">
        <v>238.47</v>
      </c>
      <c r="D123">
        <v>170.62</v>
      </c>
      <c r="E123" s="12">
        <f t="shared" si="14"/>
        <v>-5.1577849085575611E-3</v>
      </c>
      <c r="F123" s="12">
        <f t="shared" si="14"/>
        <v>-5.4633413962799082E-3</v>
      </c>
      <c r="G123" s="12">
        <f t="shared" si="14"/>
        <v>-6.0584877082604516E-3</v>
      </c>
    </row>
    <row r="124" spans="1:7" x14ac:dyDescent="0.3">
      <c r="A124" t="s">
        <v>158</v>
      </c>
      <c r="B124">
        <v>505.12</v>
      </c>
      <c r="C124">
        <v>229.72</v>
      </c>
      <c r="D124">
        <v>170.78</v>
      </c>
      <c r="E124" s="12">
        <f t="shared" si="14"/>
        <v>-4.5513010784603569E-4</v>
      </c>
      <c r="F124" s="12">
        <f t="shared" si="14"/>
        <v>-3.6692246404159801E-2</v>
      </c>
      <c r="G124" s="12">
        <f t="shared" si="14"/>
        <v>9.3775641777038565E-4</v>
      </c>
    </row>
    <row r="125" spans="1:7" x14ac:dyDescent="0.3">
      <c r="A125" t="s">
        <v>159</v>
      </c>
      <c r="B125">
        <v>506.69</v>
      </c>
      <c r="C125">
        <v>232.14</v>
      </c>
      <c r="D125">
        <v>174.18</v>
      </c>
      <c r="E125" s="12">
        <f t="shared" si="14"/>
        <v>3.1081723154893215E-3</v>
      </c>
      <c r="F125" s="12">
        <f t="shared" si="14"/>
        <v>1.0534563816820386E-2</v>
      </c>
      <c r="G125" s="12">
        <f t="shared" si="14"/>
        <v>1.9908654409181326E-2</v>
      </c>
    </row>
    <row r="126" spans="1:7" x14ac:dyDescent="0.3">
      <c r="A126" t="s">
        <v>160</v>
      </c>
      <c r="B126">
        <v>509.64</v>
      </c>
      <c r="C126">
        <v>232.56</v>
      </c>
      <c r="D126">
        <v>180.17</v>
      </c>
      <c r="E126" s="12">
        <f t="shared" si="14"/>
        <v>5.8221002980125558E-3</v>
      </c>
      <c r="F126" s="12">
        <f t="shared" si="14"/>
        <v>1.8092530369604454E-3</v>
      </c>
      <c r="G126" s="12">
        <f t="shared" si="14"/>
        <v>3.4389711792398581E-2</v>
      </c>
    </row>
    <row r="127" spans="1:7" x14ac:dyDescent="0.3">
      <c r="A127" t="s">
        <v>161</v>
      </c>
      <c r="B127">
        <v>506.74</v>
      </c>
      <c r="C127">
        <v>230.49</v>
      </c>
      <c r="D127">
        <v>181.6</v>
      </c>
      <c r="E127" s="12">
        <f t="shared" si="14"/>
        <v>-5.6902911859351146E-3</v>
      </c>
      <c r="F127" s="12">
        <f t="shared" si="14"/>
        <v>-8.9009287925696512E-3</v>
      </c>
      <c r="G127" s="12">
        <f t="shared" si="14"/>
        <v>7.9369484375868549E-3</v>
      </c>
    </row>
    <row r="128" spans="1:7" x14ac:dyDescent="0.3">
      <c r="A128" t="s">
        <v>162</v>
      </c>
      <c r="B128">
        <v>502.04</v>
      </c>
      <c r="C128">
        <v>229.31</v>
      </c>
      <c r="D128">
        <v>181.77</v>
      </c>
      <c r="E128" s="12">
        <f t="shared" si="14"/>
        <v>-9.2749733591190875E-3</v>
      </c>
      <c r="F128" s="12">
        <f t="shared" si="14"/>
        <v>-5.1195279621676359E-3</v>
      </c>
      <c r="G128" s="12">
        <f t="shared" si="14"/>
        <v>9.3612334801762564E-4</v>
      </c>
    </row>
    <row r="129" spans="1:7" x14ac:dyDescent="0.3">
      <c r="A129" t="s">
        <v>163</v>
      </c>
      <c r="B129">
        <v>504.26</v>
      </c>
      <c r="C129">
        <v>227.16</v>
      </c>
      <c r="D129">
        <v>179.81</v>
      </c>
      <c r="E129" s="12">
        <f t="shared" si="14"/>
        <v>4.421958409688509E-3</v>
      </c>
      <c r="F129" s="12">
        <f t="shared" si="14"/>
        <v>-9.3759539488029731E-3</v>
      </c>
      <c r="G129" s="12">
        <f t="shared" si="14"/>
        <v>-1.078285745722618E-2</v>
      </c>
    </row>
    <row r="130" spans="1:7" x14ac:dyDescent="0.3">
      <c r="A130" t="s">
        <v>164</v>
      </c>
      <c r="B130">
        <v>507.23</v>
      </c>
      <c r="C130">
        <v>227.76</v>
      </c>
      <c r="D130">
        <v>177.99</v>
      </c>
      <c r="E130" s="12">
        <f t="shared" si="14"/>
        <v>5.8898187442986139E-3</v>
      </c>
      <c r="F130" s="12">
        <f t="shared" si="14"/>
        <v>2.641310089804616E-3</v>
      </c>
      <c r="G130" s="12">
        <f t="shared" si="14"/>
        <v>-1.0121795228296482E-2</v>
      </c>
    </row>
    <row r="131" spans="1:7" x14ac:dyDescent="0.3">
      <c r="A131" t="s">
        <v>165</v>
      </c>
      <c r="B131">
        <v>504.24</v>
      </c>
      <c r="C131">
        <v>224.9</v>
      </c>
      <c r="D131">
        <v>174.98</v>
      </c>
      <c r="E131" s="12">
        <f t="shared" si="14"/>
        <v>-5.8947617451649004E-3</v>
      </c>
      <c r="F131" s="12">
        <f t="shared" si="14"/>
        <v>-1.2557077625570678E-2</v>
      </c>
      <c r="G131" s="12">
        <f t="shared" si="14"/>
        <v>-1.6911062419237122E-2</v>
      </c>
    </row>
    <row r="132" spans="1:7" x14ac:dyDescent="0.3">
      <c r="A132" t="s">
        <v>166</v>
      </c>
      <c r="B132">
        <v>505.72</v>
      </c>
      <c r="C132">
        <v>226.01</v>
      </c>
      <c r="D132">
        <v>175.4</v>
      </c>
      <c r="E132" s="12">
        <f t="shared" ref="E132:G195" si="15">B132/B131-1</f>
        <v>2.9351102649533001E-3</v>
      </c>
      <c r="F132" s="12">
        <f t="shared" si="15"/>
        <v>4.9355269008446445E-3</v>
      </c>
      <c r="G132" s="12">
        <f t="shared" si="15"/>
        <v>2.4002743170647989E-3</v>
      </c>
    </row>
    <row r="133" spans="1:7" x14ac:dyDescent="0.3">
      <c r="A133" t="s">
        <v>167</v>
      </c>
      <c r="B133">
        <v>509.77</v>
      </c>
      <c r="C133">
        <v>230.56</v>
      </c>
      <c r="D133">
        <v>175.64</v>
      </c>
      <c r="E133" s="12">
        <f t="shared" si="15"/>
        <v>8.0083840860554201E-3</v>
      </c>
      <c r="F133" s="12">
        <f t="shared" si="15"/>
        <v>2.013185257289507E-2</v>
      </c>
      <c r="G133" s="12">
        <f t="shared" si="15"/>
        <v>1.36830102622576E-3</v>
      </c>
    </row>
    <row r="134" spans="1:7" x14ac:dyDescent="0.3">
      <c r="A134" t="s">
        <v>168</v>
      </c>
      <c r="B134">
        <v>517.1</v>
      </c>
      <c r="C134">
        <v>230.89</v>
      </c>
      <c r="D134">
        <v>182.01</v>
      </c>
      <c r="E134" s="12">
        <f t="shared" si="15"/>
        <v>1.4379033681856557E-2</v>
      </c>
      <c r="F134" s="12">
        <f t="shared" si="15"/>
        <v>1.4312977099235624E-3</v>
      </c>
      <c r="G134" s="12">
        <f t="shared" si="15"/>
        <v>3.6267365064905466E-2</v>
      </c>
    </row>
    <row r="135" spans="1:7" x14ac:dyDescent="0.3">
      <c r="A135" t="s">
        <v>169</v>
      </c>
      <c r="B135">
        <v>520.16999999999996</v>
      </c>
      <c r="C135">
        <v>231.59</v>
      </c>
      <c r="D135">
        <v>180.45</v>
      </c>
      <c r="E135" s="12">
        <f t="shared" si="15"/>
        <v>5.9369561013342675E-3</v>
      </c>
      <c r="F135" s="12">
        <f t="shared" si="15"/>
        <v>3.0317467192169101E-3</v>
      </c>
      <c r="G135" s="12">
        <f t="shared" si="15"/>
        <v>-8.5709576396901799E-3</v>
      </c>
    </row>
    <row r="136" spans="1:7" x14ac:dyDescent="0.3">
      <c r="A136" t="s">
        <v>170</v>
      </c>
      <c r="B136">
        <v>522.48</v>
      </c>
      <c r="C136">
        <v>232.78</v>
      </c>
      <c r="D136">
        <v>182.02</v>
      </c>
      <c r="E136" s="12">
        <f t="shared" si="15"/>
        <v>4.4408558740411941E-3</v>
      </c>
      <c r="F136" s="12">
        <f t="shared" si="15"/>
        <v>5.1383911222417922E-3</v>
      </c>
      <c r="G136" s="12">
        <f t="shared" si="15"/>
        <v>8.7004710446108025E-3</v>
      </c>
    </row>
    <row r="137" spans="1:7" x14ac:dyDescent="0.3">
      <c r="A137" t="s">
        <v>171</v>
      </c>
      <c r="B137">
        <v>520.58000000000004</v>
      </c>
      <c r="C137">
        <v>233.33</v>
      </c>
      <c r="D137">
        <v>181.59</v>
      </c>
      <c r="E137" s="12">
        <f t="shared" si="15"/>
        <v>-3.6365028326442728E-3</v>
      </c>
      <c r="F137" s="12">
        <f t="shared" si="15"/>
        <v>2.3627459403730011E-3</v>
      </c>
      <c r="G137" s="12">
        <f t="shared" si="15"/>
        <v>-2.3623777606857077E-3</v>
      </c>
    </row>
    <row r="138" spans="1:7" x14ac:dyDescent="0.3">
      <c r="A138" t="s">
        <v>172</v>
      </c>
      <c r="B138">
        <v>529.24</v>
      </c>
      <c r="C138">
        <v>229.65</v>
      </c>
      <c r="D138">
        <v>183.16</v>
      </c>
      <c r="E138" s="12">
        <f t="shared" si="15"/>
        <v>1.6635291405739716E-2</v>
      </c>
      <c r="F138" s="12">
        <f t="shared" si="15"/>
        <v>-1.5771653880769732E-2</v>
      </c>
      <c r="G138" s="12">
        <f t="shared" si="15"/>
        <v>8.6458505424307219E-3</v>
      </c>
    </row>
    <row r="139" spans="1:7" x14ac:dyDescent="0.3">
      <c r="A139" t="s">
        <v>173</v>
      </c>
      <c r="B139">
        <v>521.77</v>
      </c>
      <c r="C139">
        <v>227.18</v>
      </c>
      <c r="D139">
        <v>182.06</v>
      </c>
      <c r="E139" s="12">
        <f t="shared" si="15"/>
        <v>-1.4114579396870996E-2</v>
      </c>
      <c r="F139" s="12">
        <f t="shared" si="15"/>
        <v>-1.075549749618987E-2</v>
      </c>
      <c r="G139" s="12">
        <f t="shared" si="15"/>
        <v>-6.005678095653999E-3</v>
      </c>
    </row>
    <row r="140" spans="1:7" x14ac:dyDescent="0.3">
      <c r="A140" t="s">
        <v>174</v>
      </c>
      <c r="B140">
        <v>522.04</v>
      </c>
      <c r="C140">
        <v>229.35</v>
      </c>
      <c r="D140">
        <v>182.7</v>
      </c>
      <c r="E140" s="12">
        <f t="shared" si="15"/>
        <v>5.1746938306140855E-4</v>
      </c>
      <c r="F140" s="12">
        <f t="shared" si="15"/>
        <v>9.5518971740469194E-3</v>
      </c>
      <c r="G140" s="12">
        <f t="shared" si="15"/>
        <v>3.5153246182575426E-3</v>
      </c>
    </row>
    <row r="141" spans="1:7" x14ac:dyDescent="0.3">
      <c r="A141" t="s">
        <v>175</v>
      </c>
      <c r="B141">
        <v>520.84</v>
      </c>
      <c r="C141">
        <v>220.03</v>
      </c>
      <c r="D141">
        <v>180.77</v>
      </c>
      <c r="E141" s="12">
        <f t="shared" si="15"/>
        <v>-2.2986744310778962E-3</v>
      </c>
      <c r="F141" s="12">
        <f t="shared" si="15"/>
        <v>-4.0636581643775815E-2</v>
      </c>
      <c r="G141" s="12">
        <f t="shared" si="15"/>
        <v>-1.0563765736179453E-2</v>
      </c>
    </row>
    <row r="142" spans="1:7" x14ac:dyDescent="0.3">
      <c r="A142" t="s">
        <v>176</v>
      </c>
      <c r="B142">
        <v>524.94000000000005</v>
      </c>
      <c r="C142">
        <v>213.25</v>
      </c>
      <c r="D142">
        <v>179.42</v>
      </c>
      <c r="E142" s="12">
        <f t="shared" si="15"/>
        <v>7.8718992396897836E-3</v>
      </c>
      <c r="F142" s="12">
        <f t="shared" si="15"/>
        <v>-3.0813979911830214E-2</v>
      </c>
      <c r="G142" s="12">
        <f t="shared" si="15"/>
        <v>-7.4680533274327221E-3</v>
      </c>
    </row>
    <row r="143" spans="1:7" x14ac:dyDescent="0.3">
      <c r="A143" t="s">
        <v>177</v>
      </c>
      <c r="B143">
        <v>527.75</v>
      </c>
      <c r="C143">
        <v>202.92</v>
      </c>
      <c r="D143">
        <v>178.26</v>
      </c>
      <c r="E143" s="12">
        <f t="shared" si="15"/>
        <v>5.3529927229778451E-3</v>
      </c>
      <c r="F143" s="12">
        <f t="shared" si="15"/>
        <v>-4.8440797186401041E-2</v>
      </c>
      <c r="G143" s="12">
        <f t="shared" si="15"/>
        <v>-6.4652770036784935E-3</v>
      </c>
    </row>
    <row r="144" spans="1:7" x14ac:dyDescent="0.3">
      <c r="A144" t="s">
        <v>178</v>
      </c>
      <c r="B144">
        <v>535.64</v>
      </c>
      <c r="C144">
        <v>203.35</v>
      </c>
      <c r="D144">
        <v>180</v>
      </c>
      <c r="E144" s="12">
        <f t="shared" si="15"/>
        <v>1.4950260540028459E-2</v>
      </c>
      <c r="F144" s="12">
        <f t="shared" si="15"/>
        <v>2.1190616991917377E-3</v>
      </c>
      <c r="G144" s="12">
        <f t="shared" si="15"/>
        <v>9.7610232245035622E-3</v>
      </c>
    </row>
    <row r="145" spans="1:7" x14ac:dyDescent="0.3">
      <c r="A145" t="s">
        <v>179</v>
      </c>
      <c r="B145">
        <v>524.11</v>
      </c>
      <c r="C145">
        <v>202.38</v>
      </c>
      <c r="D145">
        <v>173.72</v>
      </c>
      <c r="E145" s="12">
        <f t="shared" si="15"/>
        <v>-2.1525651557015801E-2</v>
      </c>
      <c r="F145" s="12">
        <f t="shared" si="15"/>
        <v>-4.7701008114089394E-3</v>
      </c>
      <c r="G145" s="12">
        <f t="shared" si="15"/>
        <v>-3.4888888888888858E-2</v>
      </c>
    </row>
    <row r="146" spans="1:7" x14ac:dyDescent="0.3">
      <c r="A146" t="s">
        <v>180</v>
      </c>
      <c r="B146">
        <v>533.5</v>
      </c>
      <c r="C146">
        <v>207.57</v>
      </c>
      <c r="D146">
        <v>177.87</v>
      </c>
      <c r="E146" s="12">
        <f t="shared" si="15"/>
        <v>1.7916086317757651E-2</v>
      </c>
      <c r="F146" s="12">
        <f t="shared" si="15"/>
        <v>2.5644826563889778E-2</v>
      </c>
      <c r="G146" s="12">
        <f t="shared" si="15"/>
        <v>2.3889016808657626E-2</v>
      </c>
    </row>
    <row r="147" spans="1:7" x14ac:dyDescent="0.3">
      <c r="A147" t="s">
        <v>181</v>
      </c>
      <c r="B147">
        <v>513.24</v>
      </c>
      <c r="C147">
        <v>209.05</v>
      </c>
      <c r="D147">
        <v>179.27</v>
      </c>
      <c r="E147" s="12">
        <f t="shared" si="15"/>
        <v>-3.7975632614807853E-2</v>
      </c>
      <c r="F147" s="12">
        <f t="shared" si="15"/>
        <v>7.1301247771837772E-3</v>
      </c>
      <c r="G147" s="12">
        <f t="shared" si="15"/>
        <v>7.8709169618260688E-3</v>
      </c>
    </row>
    <row r="148" spans="1:7" x14ac:dyDescent="0.3">
      <c r="A148" t="s">
        <v>182</v>
      </c>
      <c r="B148">
        <v>512.57000000000005</v>
      </c>
      <c r="C148">
        <v>211.27</v>
      </c>
      <c r="D148">
        <v>175.51</v>
      </c>
      <c r="E148" s="12">
        <f t="shared" si="15"/>
        <v>-1.3054321564959226E-3</v>
      </c>
      <c r="F148" s="12">
        <f t="shared" si="15"/>
        <v>1.0619469026548645E-2</v>
      </c>
      <c r="G148" s="12">
        <f t="shared" si="15"/>
        <v>-2.0973949907960199E-2</v>
      </c>
    </row>
    <row r="149" spans="1:7" x14ac:dyDescent="0.3">
      <c r="A149" t="s">
        <v>183</v>
      </c>
      <c r="B149">
        <v>512.5</v>
      </c>
      <c r="C149">
        <v>214.05</v>
      </c>
      <c r="D149">
        <v>176.75</v>
      </c>
      <c r="E149" s="12">
        <f t="shared" si="15"/>
        <v>-1.3656671283934774E-4</v>
      </c>
      <c r="F149" s="12">
        <f t="shared" si="15"/>
        <v>1.3158517536801195E-2</v>
      </c>
      <c r="G149" s="12">
        <f t="shared" si="15"/>
        <v>7.0651244943309433E-3</v>
      </c>
    </row>
    <row r="150" spans="1:7" x14ac:dyDescent="0.3">
      <c r="A150" t="s">
        <v>184</v>
      </c>
      <c r="B150">
        <v>513.71</v>
      </c>
      <c r="C150">
        <v>213.88</v>
      </c>
      <c r="D150">
        <v>173.5</v>
      </c>
      <c r="E150" s="12">
        <f t="shared" si="15"/>
        <v>2.3609756097562329E-3</v>
      </c>
      <c r="F150" s="12">
        <f t="shared" si="15"/>
        <v>-7.942069609905289E-4</v>
      </c>
      <c r="G150" s="12">
        <f t="shared" si="15"/>
        <v>-1.8387553041018356E-2</v>
      </c>
    </row>
    <row r="151" spans="1:7" x14ac:dyDescent="0.3">
      <c r="A151" t="s">
        <v>185</v>
      </c>
      <c r="B151">
        <v>510.88</v>
      </c>
      <c r="C151">
        <v>213.76</v>
      </c>
      <c r="D151">
        <v>173.74</v>
      </c>
      <c r="E151" s="12">
        <f t="shared" si="15"/>
        <v>-5.508944735356569E-3</v>
      </c>
      <c r="F151" s="12">
        <f t="shared" si="15"/>
        <v>-5.6106227791286045E-4</v>
      </c>
      <c r="G151" s="12">
        <f t="shared" si="15"/>
        <v>1.3832853025936842E-3</v>
      </c>
    </row>
    <row r="152" spans="1:7" x14ac:dyDescent="0.3">
      <c r="A152" t="s">
        <v>186</v>
      </c>
      <c r="B152">
        <v>505.87</v>
      </c>
      <c r="C152">
        <v>214.15</v>
      </c>
      <c r="D152">
        <v>170.78</v>
      </c>
      <c r="E152" s="12">
        <f t="shared" si="15"/>
        <v>-9.8066082054494297E-3</v>
      </c>
      <c r="F152" s="12">
        <f t="shared" si="15"/>
        <v>1.8244760479042554E-3</v>
      </c>
      <c r="G152" s="12">
        <f t="shared" si="15"/>
        <v>-1.7036951767008257E-2</v>
      </c>
    </row>
    <row r="153" spans="1:7" x14ac:dyDescent="0.3">
      <c r="A153" t="s">
        <v>187</v>
      </c>
      <c r="B153">
        <v>505.27</v>
      </c>
      <c r="C153">
        <v>214.4</v>
      </c>
      <c r="D153">
        <v>167.03</v>
      </c>
      <c r="E153" s="12">
        <f t="shared" si="15"/>
        <v>-1.1860754739360102E-3</v>
      </c>
      <c r="F153" s="12">
        <f t="shared" si="15"/>
        <v>1.167406023815154E-3</v>
      </c>
      <c r="G153" s="12">
        <f t="shared" si="15"/>
        <v>-2.1958074716008857E-2</v>
      </c>
    </row>
    <row r="154" spans="1:7" x14ac:dyDescent="0.3">
      <c r="A154" t="s">
        <v>188</v>
      </c>
      <c r="B154">
        <v>510.06</v>
      </c>
      <c r="C154">
        <v>212.48</v>
      </c>
      <c r="D154">
        <v>171.38</v>
      </c>
      <c r="E154" s="12">
        <f t="shared" si="15"/>
        <v>9.4800799572505312E-3</v>
      </c>
      <c r="F154" s="12">
        <f t="shared" si="15"/>
        <v>-8.9552238805971074E-3</v>
      </c>
      <c r="G154" s="12">
        <f t="shared" si="15"/>
        <v>2.6043225767826028E-2</v>
      </c>
    </row>
    <row r="155" spans="1:7" x14ac:dyDescent="0.3">
      <c r="A155" t="s">
        <v>189</v>
      </c>
      <c r="B155">
        <v>510.05</v>
      </c>
      <c r="C155">
        <v>211.18</v>
      </c>
      <c r="D155">
        <v>172.41</v>
      </c>
      <c r="E155" s="12">
        <f t="shared" si="15"/>
        <v>-1.9605536603517493E-5</v>
      </c>
      <c r="F155" s="12">
        <f t="shared" si="15"/>
        <v>-6.1182228915661607E-3</v>
      </c>
      <c r="G155" s="12">
        <f t="shared" si="15"/>
        <v>6.0100361769168664E-3</v>
      </c>
    </row>
    <row r="156" spans="1:7" x14ac:dyDescent="0.3">
      <c r="A156" t="s">
        <v>190</v>
      </c>
      <c r="B156">
        <v>511.7</v>
      </c>
      <c r="C156">
        <v>210.02</v>
      </c>
      <c r="D156">
        <v>173</v>
      </c>
      <c r="E156" s="12">
        <f t="shared" si="15"/>
        <v>3.2349769630428682E-3</v>
      </c>
      <c r="F156" s="12">
        <f t="shared" si="15"/>
        <v>-5.4929444076143863E-3</v>
      </c>
      <c r="G156" s="12">
        <f t="shared" si="15"/>
        <v>3.4220752856564118E-3</v>
      </c>
    </row>
    <row r="157" spans="1:7" x14ac:dyDescent="0.3">
      <c r="A157" t="s">
        <v>191</v>
      </c>
      <c r="B157">
        <v>505.62</v>
      </c>
      <c r="C157">
        <v>210.16</v>
      </c>
      <c r="D157">
        <v>171.37</v>
      </c>
      <c r="E157" s="12">
        <f t="shared" si="15"/>
        <v>-1.1881962087160414E-2</v>
      </c>
      <c r="F157" s="12">
        <f t="shared" si="15"/>
        <v>6.6660318064948321E-4</v>
      </c>
      <c r="G157" s="12">
        <f t="shared" si="15"/>
        <v>-9.4219653179190566E-3</v>
      </c>
    </row>
    <row r="158" spans="1:7" x14ac:dyDescent="0.3">
      <c r="A158" t="s">
        <v>192</v>
      </c>
      <c r="B158">
        <v>505.82</v>
      </c>
      <c r="C158">
        <v>209.11</v>
      </c>
      <c r="D158">
        <v>170.7</v>
      </c>
      <c r="E158" s="12">
        <f t="shared" si="15"/>
        <v>3.9555397333956854E-4</v>
      </c>
      <c r="F158" s="12">
        <f t="shared" si="15"/>
        <v>-4.9961933764749444E-3</v>
      </c>
      <c r="G158" s="12">
        <f t="shared" si="15"/>
        <v>-3.9096691369552294E-3</v>
      </c>
    </row>
    <row r="159" spans="1:7" x14ac:dyDescent="0.3">
      <c r="A159" t="s">
        <v>193</v>
      </c>
      <c r="B159">
        <v>503.02</v>
      </c>
      <c r="C159">
        <v>208.62</v>
      </c>
      <c r="D159">
        <v>164.07</v>
      </c>
      <c r="E159" s="12">
        <f t="shared" si="15"/>
        <v>-5.5355660116247485E-3</v>
      </c>
      <c r="F159" s="12">
        <f t="shared" si="15"/>
        <v>-2.3432643106499063E-3</v>
      </c>
      <c r="G159" s="12">
        <f t="shared" si="15"/>
        <v>-3.8840070298769791E-2</v>
      </c>
    </row>
    <row r="160" spans="1:7" x14ac:dyDescent="0.3">
      <c r="A160" t="s">
        <v>194</v>
      </c>
      <c r="B160">
        <v>503.32</v>
      </c>
      <c r="C160">
        <v>211.16</v>
      </c>
      <c r="D160">
        <v>164.92</v>
      </c>
      <c r="E160" s="12">
        <f t="shared" si="15"/>
        <v>5.9639775754449786E-4</v>
      </c>
      <c r="F160" s="12">
        <f t="shared" si="15"/>
        <v>1.2175246860320232E-2</v>
      </c>
      <c r="G160" s="12">
        <f t="shared" si="15"/>
        <v>5.1807155482415101E-3</v>
      </c>
    </row>
    <row r="161" spans="1:7" x14ac:dyDescent="0.3">
      <c r="A161" t="s">
        <v>195</v>
      </c>
      <c r="B161">
        <v>501.48</v>
      </c>
      <c r="C161">
        <v>212.41</v>
      </c>
      <c r="D161">
        <v>164.1</v>
      </c>
      <c r="E161" s="12">
        <f t="shared" si="15"/>
        <v>-3.6557259794961494E-3</v>
      </c>
      <c r="F161" s="12">
        <f t="shared" si="15"/>
        <v>5.9196817579088012E-3</v>
      </c>
      <c r="G161" s="12">
        <f t="shared" si="15"/>
        <v>-4.972107688576255E-3</v>
      </c>
    </row>
    <row r="162" spans="1:7" x14ac:dyDescent="0.3">
      <c r="A162" t="s">
        <v>196</v>
      </c>
      <c r="B162">
        <v>503.51</v>
      </c>
      <c r="C162">
        <v>211.14</v>
      </c>
      <c r="D162">
        <v>162.88</v>
      </c>
      <c r="E162" s="12">
        <f t="shared" si="15"/>
        <v>4.048017867113396E-3</v>
      </c>
      <c r="F162" s="12">
        <f t="shared" si="15"/>
        <v>-5.9790028718045285E-3</v>
      </c>
      <c r="G162" s="12">
        <f t="shared" si="15"/>
        <v>-7.4344911639244726E-3</v>
      </c>
    </row>
    <row r="163" spans="1:7" x14ac:dyDescent="0.3">
      <c r="A163" t="s">
        <v>197</v>
      </c>
      <c r="B163">
        <v>496.62</v>
      </c>
      <c r="C163">
        <v>210.01</v>
      </c>
      <c r="D163">
        <v>160</v>
      </c>
      <c r="E163" s="12">
        <f t="shared" si="15"/>
        <v>-1.36839387499752E-2</v>
      </c>
      <c r="F163" s="12">
        <f t="shared" si="15"/>
        <v>-5.3518992137917554E-3</v>
      </c>
      <c r="G163" s="12">
        <f t="shared" si="15"/>
        <v>-1.7681728880157177E-2</v>
      </c>
    </row>
    <row r="164" spans="1:7" x14ac:dyDescent="0.3">
      <c r="A164" t="s">
        <v>198</v>
      </c>
      <c r="B164">
        <v>497.72</v>
      </c>
      <c r="C164">
        <v>209.95</v>
      </c>
      <c r="D164">
        <v>158.24</v>
      </c>
      <c r="E164" s="12">
        <f t="shared" si="15"/>
        <v>2.2149732189602478E-3</v>
      </c>
      <c r="F164" s="12">
        <f t="shared" si="15"/>
        <v>-2.8570068091993139E-4</v>
      </c>
      <c r="G164" s="12">
        <f t="shared" si="15"/>
        <v>-1.0999999999999899E-2</v>
      </c>
    </row>
    <row r="165" spans="1:7" x14ac:dyDescent="0.3">
      <c r="A165" t="s">
        <v>199</v>
      </c>
      <c r="B165">
        <v>498.84</v>
      </c>
      <c r="C165">
        <v>213.55</v>
      </c>
      <c r="D165">
        <v>159.34</v>
      </c>
      <c r="E165" s="12">
        <f t="shared" si="15"/>
        <v>2.250261191030889E-3</v>
      </c>
      <c r="F165" s="12">
        <f t="shared" si="15"/>
        <v>1.7146939747558987E-2</v>
      </c>
      <c r="G165" s="12">
        <f t="shared" si="15"/>
        <v>6.9514661274012735E-3</v>
      </c>
    </row>
    <row r="166" spans="1:7" x14ac:dyDescent="0.3">
      <c r="A166" t="s">
        <v>200</v>
      </c>
      <c r="B166">
        <v>491.09</v>
      </c>
      <c r="C166">
        <v>212.44</v>
      </c>
      <c r="D166">
        <v>157.25</v>
      </c>
      <c r="E166" s="12">
        <f t="shared" si="15"/>
        <v>-1.5536043621201201E-2</v>
      </c>
      <c r="F166" s="12">
        <f t="shared" si="15"/>
        <v>-5.1978459377195474E-3</v>
      </c>
      <c r="G166" s="12">
        <f t="shared" si="15"/>
        <v>-1.3116605999748954E-2</v>
      </c>
    </row>
    <row r="167" spans="1:7" x14ac:dyDescent="0.3">
      <c r="A167" t="s">
        <v>201</v>
      </c>
      <c r="B167">
        <v>492.05</v>
      </c>
      <c r="C167">
        <v>207.82</v>
      </c>
      <c r="D167">
        <v>153.30000000000001</v>
      </c>
      <c r="E167" s="12">
        <f t="shared" si="15"/>
        <v>1.9548351625975346E-3</v>
      </c>
      <c r="F167" s="12">
        <f t="shared" si="15"/>
        <v>-2.1747316889474733E-2</v>
      </c>
      <c r="G167" s="12">
        <f t="shared" si="15"/>
        <v>-2.5119236883942686E-2</v>
      </c>
    </row>
    <row r="168" spans="1:7" x14ac:dyDescent="0.3">
      <c r="A168" t="s">
        <v>202</v>
      </c>
      <c r="B168">
        <v>497.41</v>
      </c>
      <c r="C168">
        <v>205.17</v>
      </c>
      <c r="D168">
        <v>157.99</v>
      </c>
      <c r="E168" s="12">
        <f t="shared" si="15"/>
        <v>1.0893201910374906E-2</v>
      </c>
      <c r="F168" s="12">
        <f t="shared" si="15"/>
        <v>-1.2751419497642247E-2</v>
      </c>
      <c r="G168" s="12">
        <f t="shared" si="15"/>
        <v>3.0593607305936077E-2</v>
      </c>
    </row>
    <row r="169" spans="1:7" x14ac:dyDescent="0.3">
      <c r="A169" t="s">
        <v>203</v>
      </c>
      <c r="B169">
        <v>495.94</v>
      </c>
      <c r="C169">
        <v>201.08</v>
      </c>
      <c r="D169">
        <v>157.75</v>
      </c>
      <c r="E169" s="12">
        <f t="shared" si="15"/>
        <v>-2.9553084980198374E-3</v>
      </c>
      <c r="F169" s="12">
        <f t="shared" si="15"/>
        <v>-1.9934688307257309E-2</v>
      </c>
      <c r="G169" s="12">
        <f t="shared" si="15"/>
        <v>-1.5190834862967018E-3</v>
      </c>
    </row>
    <row r="170" spans="1:7" x14ac:dyDescent="0.3">
      <c r="A170" t="s">
        <v>204</v>
      </c>
      <c r="B170">
        <v>497.45</v>
      </c>
      <c r="C170">
        <v>201</v>
      </c>
      <c r="D170">
        <v>155.02000000000001</v>
      </c>
      <c r="E170" s="12">
        <f t="shared" si="15"/>
        <v>3.0447231519941109E-3</v>
      </c>
      <c r="F170" s="12">
        <f t="shared" si="15"/>
        <v>-3.9785160135275E-4</v>
      </c>
      <c r="G170" s="12">
        <f t="shared" si="15"/>
        <v>-1.7305863708399261E-2</v>
      </c>
    </row>
    <row r="171" spans="1:7" x14ac:dyDescent="0.3">
      <c r="A171" t="s">
        <v>205</v>
      </c>
      <c r="B171">
        <v>492.27</v>
      </c>
      <c r="C171">
        <v>201.56</v>
      </c>
      <c r="D171">
        <v>154.31</v>
      </c>
      <c r="E171" s="12">
        <f t="shared" si="15"/>
        <v>-1.0413106844909037E-2</v>
      </c>
      <c r="F171" s="12">
        <f t="shared" si="15"/>
        <v>2.7860696517412187E-3</v>
      </c>
      <c r="G171" s="12">
        <f t="shared" si="15"/>
        <v>-4.5800541865566036E-3</v>
      </c>
    </row>
    <row r="172" spans="1:7" x14ac:dyDescent="0.3">
      <c r="A172" t="s">
        <v>206</v>
      </c>
      <c r="B172">
        <v>490.11</v>
      </c>
      <c r="C172">
        <v>200.3</v>
      </c>
      <c r="D172">
        <v>147.9</v>
      </c>
      <c r="E172" s="12">
        <f t="shared" si="15"/>
        <v>-4.387835943689411E-3</v>
      </c>
      <c r="F172" s="12">
        <f t="shared" si="15"/>
        <v>-6.2512403254613158E-3</v>
      </c>
      <c r="G172" s="12">
        <f t="shared" si="15"/>
        <v>-4.1539757630743246E-2</v>
      </c>
    </row>
    <row r="173" spans="1:7" x14ac:dyDescent="0.3">
      <c r="A173" t="s">
        <v>207</v>
      </c>
      <c r="B173">
        <v>486</v>
      </c>
      <c r="C173">
        <v>201.5</v>
      </c>
      <c r="D173">
        <v>144.16999999999999</v>
      </c>
      <c r="E173" s="12">
        <f t="shared" si="15"/>
        <v>-8.3858725592214078E-3</v>
      </c>
      <c r="F173" s="12">
        <f t="shared" si="15"/>
        <v>5.9910134797802606E-3</v>
      </c>
      <c r="G173" s="12">
        <f t="shared" si="15"/>
        <v>-2.5219743069641809E-2</v>
      </c>
    </row>
    <row r="174" spans="1:7" x14ac:dyDescent="0.3">
      <c r="A174" t="s">
        <v>208</v>
      </c>
      <c r="B174">
        <v>477.4</v>
      </c>
      <c r="C174">
        <v>201</v>
      </c>
      <c r="D174">
        <v>143.85</v>
      </c>
      <c r="E174" s="12">
        <f t="shared" si="15"/>
        <v>-1.7695473251028826E-2</v>
      </c>
      <c r="F174" s="12">
        <f t="shared" si="15"/>
        <v>-2.4813895781637951E-3</v>
      </c>
      <c r="G174" s="12">
        <f t="shared" si="15"/>
        <v>-2.2196018589165645E-3</v>
      </c>
    </row>
    <row r="175" spans="1:7" x14ac:dyDescent="0.3">
      <c r="A175" t="s">
        <v>209</v>
      </c>
      <c r="B175">
        <v>480.24</v>
      </c>
      <c r="C175">
        <v>196.58</v>
      </c>
      <c r="D175">
        <v>145.47999999999999</v>
      </c>
      <c r="E175" s="12">
        <f t="shared" si="15"/>
        <v>5.948889819857639E-3</v>
      </c>
      <c r="F175" s="12">
        <f t="shared" si="15"/>
        <v>-2.1990049751243745E-2</v>
      </c>
      <c r="G175" s="12">
        <f t="shared" si="15"/>
        <v>1.1331247827598201E-2</v>
      </c>
    </row>
    <row r="176" spans="1:7" x14ac:dyDescent="0.3">
      <c r="A176" t="s">
        <v>210</v>
      </c>
      <c r="B176">
        <v>478.04</v>
      </c>
      <c r="C176">
        <v>195.64</v>
      </c>
      <c r="D176">
        <v>144.12</v>
      </c>
      <c r="E176" s="12">
        <f t="shared" si="15"/>
        <v>-4.5810428119273938E-3</v>
      </c>
      <c r="F176" s="12">
        <f t="shared" si="15"/>
        <v>-4.7817682368502812E-3</v>
      </c>
      <c r="G176" s="12">
        <f t="shared" si="15"/>
        <v>-9.3483640362935772E-3</v>
      </c>
    </row>
    <row r="177" spans="1:7" x14ac:dyDescent="0.3">
      <c r="A177" t="s">
        <v>211</v>
      </c>
      <c r="B177">
        <v>479.14</v>
      </c>
      <c r="C177">
        <v>198.42</v>
      </c>
      <c r="D177">
        <v>144.69</v>
      </c>
      <c r="E177" s="12">
        <f t="shared" si="15"/>
        <v>2.301062672579679E-3</v>
      </c>
      <c r="F177" s="12">
        <f t="shared" si="15"/>
        <v>1.4209773052545449E-2</v>
      </c>
      <c r="G177" s="12">
        <f t="shared" si="15"/>
        <v>3.9550374687760126E-3</v>
      </c>
    </row>
    <row r="178" spans="1:7" x14ac:dyDescent="0.3">
      <c r="A178" t="s">
        <v>212</v>
      </c>
      <c r="B178">
        <v>474.96</v>
      </c>
      <c r="C178">
        <v>196.45</v>
      </c>
      <c r="D178">
        <v>141.97</v>
      </c>
      <c r="E178" s="12">
        <f t="shared" si="15"/>
        <v>-8.7239637684184412E-3</v>
      </c>
      <c r="F178" s="12">
        <f t="shared" si="15"/>
        <v>-9.9284346336054874E-3</v>
      </c>
      <c r="G178" s="12">
        <f t="shared" si="15"/>
        <v>-1.8798811251641401E-2</v>
      </c>
    </row>
    <row r="179" spans="1:7" x14ac:dyDescent="0.3">
      <c r="A179" t="s">
        <v>213</v>
      </c>
      <c r="B179">
        <v>478.87</v>
      </c>
      <c r="C179">
        <v>199.2</v>
      </c>
      <c r="D179">
        <v>145</v>
      </c>
      <c r="E179" s="12">
        <f t="shared" si="15"/>
        <v>8.2322721913423713E-3</v>
      </c>
      <c r="F179" s="12">
        <f t="shared" si="15"/>
        <v>1.3998472893866021E-2</v>
      </c>
      <c r="G179" s="12">
        <f t="shared" si="15"/>
        <v>2.1342537155737196E-2</v>
      </c>
    </row>
    <row r="180" spans="1:7" x14ac:dyDescent="0.3">
      <c r="A180" t="s">
        <v>214</v>
      </c>
      <c r="B180">
        <v>472.62</v>
      </c>
      <c r="C180">
        <v>198.78</v>
      </c>
      <c r="D180">
        <v>142.83000000000001</v>
      </c>
      <c r="E180" s="12">
        <f t="shared" si="15"/>
        <v>-1.3051558878192426E-2</v>
      </c>
      <c r="F180" s="12">
        <f t="shared" si="15"/>
        <v>-2.1084337349397408E-3</v>
      </c>
      <c r="G180" s="12">
        <f t="shared" si="15"/>
        <v>-1.4965517241379178E-2</v>
      </c>
    </row>
    <row r="181" spans="1:7" x14ac:dyDescent="0.3">
      <c r="A181" t="s">
        <v>215</v>
      </c>
      <c r="B181">
        <v>470.92</v>
      </c>
      <c r="C181">
        <v>202.67</v>
      </c>
      <c r="D181">
        <v>143.96</v>
      </c>
      <c r="E181" s="12">
        <f t="shared" si="15"/>
        <v>-3.5969700816723682E-3</v>
      </c>
      <c r="F181" s="12">
        <f t="shared" si="15"/>
        <v>1.9569373176375748E-2</v>
      </c>
      <c r="G181" s="12">
        <f t="shared" si="15"/>
        <v>7.9115031856051843E-3</v>
      </c>
    </row>
    <row r="182" spans="1:7" x14ac:dyDescent="0.3">
      <c r="A182" t="s">
        <v>216</v>
      </c>
      <c r="B182">
        <v>472.75</v>
      </c>
      <c r="C182">
        <v>201.45</v>
      </c>
      <c r="D182">
        <v>142.63</v>
      </c>
      <c r="E182" s="12">
        <f t="shared" si="15"/>
        <v>3.8860103626943143E-3</v>
      </c>
      <c r="F182" s="12">
        <f t="shared" si="15"/>
        <v>-6.0196378349040014E-3</v>
      </c>
      <c r="G182" s="12">
        <f t="shared" si="15"/>
        <v>-9.2386774103918601E-3</v>
      </c>
    </row>
    <row r="183" spans="1:7" x14ac:dyDescent="0.3">
      <c r="A183" t="s">
        <v>217</v>
      </c>
      <c r="B183">
        <v>470.38</v>
      </c>
      <c r="C183">
        <v>203.92</v>
      </c>
      <c r="D183">
        <v>141.72</v>
      </c>
      <c r="E183" s="12">
        <f t="shared" si="15"/>
        <v>-5.0132205182443768E-3</v>
      </c>
      <c r="F183" s="12">
        <f t="shared" si="15"/>
        <v>1.2261106974435387E-2</v>
      </c>
      <c r="G183" s="12">
        <f t="shared" si="15"/>
        <v>-6.3801444296430754E-3</v>
      </c>
    </row>
    <row r="184" spans="1:7" x14ac:dyDescent="0.3">
      <c r="A184" t="s">
        <v>218</v>
      </c>
      <c r="B184">
        <v>467.68</v>
      </c>
      <c r="C184">
        <v>200.63</v>
      </c>
      <c r="D184">
        <v>139.99</v>
      </c>
      <c r="E184" s="12">
        <f t="shared" si="15"/>
        <v>-5.7400399676856839E-3</v>
      </c>
      <c r="F184" s="12">
        <f t="shared" si="15"/>
        <v>-1.6133777952138106E-2</v>
      </c>
      <c r="G184" s="12">
        <f t="shared" si="15"/>
        <v>-1.2207169065763357E-2</v>
      </c>
    </row>
    <row r="185" spans="1:7" x14ac:dyDescent="0.3">
      <c r="A185" t="s">
        <v>219</v>
      </c>
      <c r="B185">
        <v>463.87</v>
      </c>
      <c r="C185">
        <v>202.82</v>
      </c>
      <c r="D185">
        <v>141.91999999999999</v>
      </c>
      <c r="E185" s="12">
        <f t="shared" si="15"/>
        <v>-8.1465959630516727E-3</v>
      </c>
      <c r="F185" s="12">
        <f t="shared" si="15"/>
        <v>1.0915615810197954E-2</v>
      </c>
      <c r="G185" s="12">
        <f t="shared" si="15"/>
        <v>1.3786699049932016E-2</v>
      </c>
    </row>
    <row r="186" spans="1:7" x14ac:dyDescent="0.3">
      <c r="A186" t="s">
        <v>220</v>
      </c>
      <c r="B186">
        <v>462.97</v>
      </c>
      <c r="C186">
        <v>203.27</v>
      </c>
      <c r="D186">
        <v>141.22</v>
      </c>
      <c r="E186" s="12">
        <f t="shared" si="15"/>
        <v>-1.9401987625843331E-3</v>
      </c>
      <c r="F186" s="12">
        <f t="shared" si="15"/>
        <v>2.218716102948548E-3</v>
      </c>
      <c r="G186" s="12">
        <f t="shared" si="15"/>
        <v>-4.9323562570461332E-3</v>
      </c>
    </row>
    <row r="187" spans="1:7" x14ac:dyDescent="0.3">
      <c r="A187" t="s">
        <v>221</v>
      </c>
      <c r="B187">
        <v>461.97</v>
      </c>
      <c r="C187">
        <v>201.7</v>
      </c>
      <c r="D187">
        <v>137.38</v>
      </c>
      <c r="E187" s="12">
        <f t="shared" si="15"/>
        <v>-2.1599671684990884E-3</v>
      </c>
      <c r="F187" s="12">
        <f t="shared" si="15"/>
        <v>-7.723717223397597E-3</v>
      </c>
      <c r="G187" s="12">
        <f t="shared" si="15"/>
        <v>-2.7191615918425227E-2</v>
      </c>
    </row>
    <row r="188" spans="1:7" x14ac:dyDescent="0.3">
      <c r="A188" t="s">
        <v>222</v>
      </c>
      <c r="B188">
        <v>460.36</v>
      </c>
      <c r="C188">
        <v>200.85</v>
      </c>
      <c r="D188">
        <v>135.13</v>
      </c>
      <c r="E188" s="12">
        <f t="shared" si="15"/>
        <v>-3.4850747884062061E-3</v>
      </c>
      <c r="F188" s="12">
        <f t="shared" si="15"/>
        <v>-4.2141794744670058E-3</v>
      </c>
      <c r="G188" s="12">
        <f t="shared" si="15"/>
        <v>-1.6377929829669569E-2</v>
      </c>
    </row>
    <row r="189" spans="1:7" x14ac:dyDescent="0.3">
      <c r="A189" t="s">
        <v>223</v>
      </c>
      <c r="B189">
        <v>458.68</v>
      </c>
      <c r="C189">
        <v>199.95</v>
      </c>
      <c r="D189">
        <v>139.19</v>
      </c>
      <c r="E189" s="12">
        <f t="shared" si="15"/>
        <v>-3.6493179251021468E-3</v>
      </c>
      <c r="F189" s="12">
        <f t="shared" si="15"/>
        <v>-4.4809559372666063E-3</v>
      </c>
      <c r="G189" s="12">
        <f t="shared" si="15"/>
        <v>3.0045141715385304E-2</v>
      </c>
    </row>
    <row r="190" spans="1:7" x14ac:dyDescent="0.3">
      <c r="A190" t="s">
        <v>224</v>
      </c>
      <c r="B190">
        <v>457.36</v>
      </c>
      <c r="C190">
        <v>200.42</v>
      </c>
      <c r="D190">
        <v>134.81</v>
      </c>
      <c r="E190" s="12">
        <f t="shared" si="15"/>
        <v>-2.8778233190895897E-3</v>
      </c>
      <c r="F190" s="12">
        <f t="shared" si="15"/>
        <v>2.3505876469116505E-3</v>
      </c>
      <c r="G190" s="12">
        <f t="shared" si="15"/>
        <v>-3.1467777857604684E-2</v>
      </c>
    </row>
    <row r="191" spans="1:7" x14ac:dyDescent="0.3">
      <c r="A191" t="s">
        <v>225</v>
      </c>
      <c r="B191">
        <v>460.69</v>
      </c>
      <c r="C191">
        <v>200.21</v>
      </c>
      <c r="D191">
        <v>135.5</v>
      </c>
      <c r="E191" s="12">
        <f t="shared" si="15"/>
        <v>7.2809165646317009E-3</v>
      </c>
      <c r="F191" s="12">
        <f t="shared" si="15"/>
        <v>-1.0477996207962637E-3</v>
      </c>
      <c r="G191" s="12">
        <f t="shared" si="15"/>
        <v>5.1183146650841671E-3</v>
      </c>
    </row>
    <row r="192" spans="1:7" x14ac:dyDescent="0.3">
      <c r="A192" t="s">
        <v>226</v>
      </c>
      <c r="B192">
        <v>450.18</v>
      </c>
      <c r="C192">
        <v>195.27</v>
      </c>
      <c r="D192">
        <v>131.29</v>
      </c>
      <c r="E192" s="12">
        <f t="shared" si="15"/>
        <v>-2.281360567843882E-2</v>
      </c>
      <c r="F192" s="12">
        <f t="shared" si="15"/>
        <v>-2.4674092203186615E-2</v>
      </c>
      <c r="G192" s="12">
        <f t="shared" si="15"/>
        <v>-3.1070110701107101E-2</v>
      </c>
    </row>
    <row r="193" spans="1:7" x14ac:dyDescent="0.3">
      <c r="A193" t="s">
        <v>227</v>
      </c>
      <c r="B193">
        <v>454.86</v>
      </c>
      <c r="C193">
        <v>201.36</v>
      </c>
      <c r="D193">
        <v>132.83000000000001</v>
      </c>
      <c r="E193" s="12">
        <f t="shared" si="15"/>
        <v>1.0395841663334737E-2</v>
      </c>
      <c r="F193" s="12">
        <f t="shared" si="15"/>
        <v>3.1187586418804703E-2</v>
      </c>
      <c r="G193" s="12">
        <f t="shared" si="15"/>
        <v>1.1729758549775537E-2</v>
      </c>
    </row>
    <row r="194" spans="1:7" x14ac:dyDescent="0.3">
      <c r="A194" t="s">
        <v>228</v>
      </c>
      <c r="B194">
        <v>452.57</v>
      </c>
      <c r="C194">
        <v>202.09</v>
      </c>
      <c r="D194">
        <v>131.80000000000001</v>
      </c>
      <c r="E194" s="12">
        <f t="shared" si="15"/>
        <v>-5.0345161148486195E-3</v>
      </c>
      <c r="F194" s="12">
        <f t="shared" si="15"/>
        <v>3.6253476360745829E-3</v>
      </c>
      <c r="G194" s="12">
        <f t="shared" si="15"/>
        <v>-7.7542723782277889E-3</v>
      </c>
    </row>
    <row r="195" spans="1:7" x14ac:dyDescent="0.3">
      <c r="A195" t="s">
        <v>229</v>
      </c>
      <c r="B195">
        <v>458.17</v>
      </c>
      <c r="C195">
        <v>206.86</v>
      </c>
      <c r="D195">
        <v>134.38</v>
      </c>
      <c r="E195" s="12">
        <f t="shared" si="15"/>
        <v>1.237377643237525E-2</v>
      </c>
      <c r="F195" s="12">
        <f t="shared" si="15"/>
        <v>2.3603345044287183E-2</v>
      </c>
      <c r="G195" s="12">
        <f t="shared" si="15"/>
        <v>1.957511380880117E-2</v>
      </c>
    </row>
    <row r="196" spans="1:7" x14ac:dyDescent="0.3">
      <c r="A196" t="s">
        <v>230</v>
      </c>
      <c r="B196">
        <v>458.87</v>
      </c>
      <c r="C196">
        <v>208.78</v>
      </c>
      <c r="D196">
        <v>135.57</v>
      </c>
      <c r="E196" s="12">
        <f t="shared" ref="E196:G259" si="16">B196/B195-1</f>
        <v>1.5278171857606715E-3</v>
      </c>
      <c r="F196" s="12">
        <f t="shared" si="16"/>
        <v>9.2816397563568742E-3</v>
      </c>
      <c r="G196" s="12">
        <f t="shared" si="16"/>
        <v>8.8554844470902783E-3</v>
      </c>
    </row>
    <row r="197" spans="1:7" x14ac:dyDescent="0.3">
      <c r="A197" t="s">
        <v>231</v>
      </c>
      <c r="B197">
        <v>454.27</v>
      </c>
      <c r="C197">
        <v>211.26</v>
      </c>
      <c r="D197">
        <v>135.4</v>
      </c>
      <c r="E197" s="12">
        <f t="shared" si="16"/>
        <v>-1.0024625710985724E-2</v>
      </c>
      <c r="F197" s="12">
        <f t="shared" si="16"/>
        <v>1.1878532426477628E-2</v>
      </c>
      <c r="G197" s="12">
        <f t="shared" si="16"/>
        <v>-1.2539647414618882E-3</v>
      </c>
    </row>
    <row r="198" spans="1:7" x14ac:dyDescent="0.3">
      <c r="A198" t="s">
        <v>232</v>
      </c>
      <c r="B198">
        <v>453.13</v>
      </c>
      <c r="C198">
        <v>211.45</v>
      </c>
      <c r="D198">
        <v>134.83000000000001</v>
      </c>
      <c r="E198" s="12">
        <f t="shared" si="16"/>
        <v>-2.5095207695863264E-3</v>
      </c>
      <c r="F198" s="12">
        <f t="shared" si="16"/>
        <v>8.9936571049897829E-4</v>
      </c>
      <c r="G198" s="12">
        <f t="shared" si="16"/>
        <v>-4.2097488921712944E-3</v>
      </c>
    </row>
    <row r="199" spans="1:7" x14ac:dyDescent="0.3">
      <c r="A199" t="s">
        <v>233</v>
      </c>
      <c r="B199">
        <v>452.94</v>
      </c>
      <c r="C199">
        <v>212.33</v>
      </c>
      <c r="D199">
        <v>135.34</v>
      </c>
      <c r="E199" s="12">
        <f t="shared" si="16"/>
        <v>-4.1930571800585792E-4</v>
      </c>
      <c r="F199" s="12">
        <f t="shared" si="16"/>
        <v>4.1617403641522888E-3</v>
      </c>
      <c r="G199" s="12">
        <f t="shared" si="16"/>
        <v>3.7825409775271712E-3</v>
      </c>
    </row>
    <row r="200" spans="1:7" x14ac:dyDescent="0.3">
      <c r="A200" t="s">
        <v>234</v>
      </c>
      <c r="B200">
        <v>449.14</v>
      </c>
      <c r="C200">
        <v>212.93</v>
      </c>
      <c r="D200">
        <v>129.93</v>
      </c>
      <c r="E200" s="12">
        <f t="shared" si="16"/>
        <v>-8.3896321808628604E-3</v>
      </c>
      <c r="F200" s="12">
        <f t="shared" si="16"/>
        <v>2.8257900437997918E-3</v>
      </c>
      <c r="G200" s="12">
        <f t="shared" si="16"/>
        <v>-3.99734003251071E-2</v>
      </c>
    </row>
    <row r="201" spans="1:7" x14ac:dyDescent="0.3">
      <c r="A201" t="s">
        <v>235</v>
      </c>
      <c r="B201">
        <v>449.26</v>
      </c>
      <c r="C201">
        <v>210.79</v>
      </c>
      <c r="D201">
        <v>123</v>
      </c>
      <c r="E201" s="12">
        <f t="shared" si="16"/>
        <v>2.6717727212011155E-4</v>
      </c>
      <c r="F201" s="12">
        <f t="shared" si="16"/>
        <v>-1.0050251256281451E-2</v>
      </c>
      <c r="G201" s="12">
        <f t="shared" si="16"/>
        <v>-5.3336411914107651E-2</v>
      </c>
    </row>
    <row r="202" spans="1:7" x14ac:dyDescent="0.3">
      <c r="A202" t="s">
        <v>236</v>
      </c>
      <c r="B202">
        <v>438.73</v>
      </c>
      <c r="C202">
        <v>198.53</v>
      </c>
      <c r="D202">
        <v>116.65</v>
      </c>
      <c r="E202" s="12">
        <f t="shared" si="16"/>
        <v>-2.3438543382451105E-2</v>
      </c>
      <c r="F202" s="12">
        <f t="shared" si="16"/>
        <v>-5.8162151904739279E-2</v>
      </c>
      <c r="G202" s="12">
        <f t="shared" si="16"/>
        <v>-5.162601626016261E-2</v>
      </c>
    </row>
    <row r="203" spans="1:7" x14ac:dyDescent="0.3">
      <c r="A203" t="s">
        <v>237</v>
      </c>
      <c r="B203">
        <v>438.17</v>
      </c>
      <c r="C203">
        <v>197.49</v>
      </c>
      <c r="D203">
        <v>117.37</v>
      </c>
      <c r="E203" s="12">
        <f t="shared" si="16"/>
        <v>-1.276411460351512E-3</v>
      </c>
      <c r="F203" s="12">
        <f t="shared" si="16"/>
        <v>-5.238502997028105E-3</v>
      </c>
      <c r="G203" s="12">
        <f t="shared" si="16"/>
        <v>6.1723103300470594E-3</v>
      </c>
    </row>
    <row r="204" spans="1:7" x14ac:dyDescent="0.3">
      <c r="A204" t="s">
        <v>238</v>
      </c>
      <c r="B204">
        <v>433.35</v>
      </c>
      <c r="C204">
        <v>196.25</v>
      </c>
      <c r="D204">
        <v>117.06</v>
      </c>
      <c r="E204" s="12">
        <f t="shared" si="16"/>
        <v>-1.1000296688499889E-2</v>
      </c>
      <c r="F204" s="12">
        <f t="shared" si="16"/>
        <v>-6.2787989265279398E-3</v>
      </c>
      <c r="G204" s="12">
        <f t="shared" si="16"/>
        <v>-2.6412200732726099E-3</v>
      </c>
    </row>
    <row r="205" spans="1:7" x14ac:dyDescent="0.3">
      <c r="A205" t="s">
        <v>239</v>
      </c>
      <c r="B205">
        <v>433.31</v>
      </c>
      <c r="C205">
        <v>198.51</v>
      </c>
      <c r="D205">
        <v>113.54</v>
      </c>
      <c r="E205" s="12">
        <f t="shared" si="16"/>
        <v>-9.2304142148447177E-5</v>
      </c>
      <c r="F205" s="12">
        <f t="shared" si="16"/>
        <v>1.1515923566878916E-2</v>
      </c>
      <c r="G205" s="12">
        <f t="shared" si="16"/>
        <v>-3.0070049547240685E-2</v>
      </c>
    </row>
    <row r="206" spans="1:7" x14ac:dyDescent="0.3">
      <c r="A206" t="s">
        <v>240</v>
      </c>
      <c r="B206">
        <v>436.17</v>
      </c>
      <c r="C206">
        <v>198.89</v>
      </c>
      <c r="D206">
        <v>113.82</v>
      </c>
      <c r="E206" s="12">
        <f t="shared" si="16"/>
        <v>6.6003554037525891E-3</v>
      </c>
      <c r="F206" s="12">
        <f t="shared" si="16"/>
        <v>1.9142612462847985E-3</v>
      </c>
      <c r="G206" s="12">
        <f t="shared" si="16"/>
        <v>2.4660912453760009E-3</v>
      </c>
    </row>
    <row r="207" spans="1:7" x14ac:dyDescent="0.3">
      <c r="A207" t="s">
        <v>241</v>
      </c>
      <c r="B207">
        <v>435.28</v>
      </c>
      <c r="C207">
        <v>205.35</v>
      </c>
      <c r="D207">
        <v>114.5</v>
      </c>
      <c r="E207" s="12">
        <f t="shared" si="16"/>
        <v>-2.0404888002385491E-3</v>
      </c>
      <c r="F207" s="12">
        <f t="shared" si="16"/>
        <v>3.2480265473377345E-2</v>
      </c>
      <c r="G207" s="12">
        <f t="shared" si="16"/>
        <v>5.9743454577403377E-3</v>
      </c>
    </row>
    <row r="208" spans="1:7" x14ac:dyDescent="0.3">
      <c r="A208" t="s">
        <v>242</v>
      </c>
      <c r="B208">
        <v>425.4</v>
      </c>
      <c r="C208">
        <v>213.32</v>
      </c>
      <c r="D208">
        <v>111.61</v>
      </c>
      <c r="E208" s="12">
        <f t="shared" si="16"/>
        <v>-2.2698033449733535E-2</v>
      </c>
      <c r="F208" s="12">
        <f t="shared" si="16"/>
        <v>3.8811784757730727E-2</v>
      </c>
      <c r="G208" s="12">
        <f t="shared" si="16"/>
        <v>-2.5240174672489069E-2</v>
      </c>
    </row>
    <row r="209" spans="1:7" x14ac:dyDescent="0.3">
      <c r="A209" t="s">
        <v>243</v>
      </c>
      <c r="B209">
        <v>395.26</v>
      </c>
      <c r="C209">
        <v>212.5</v>
      </c>
      <c r="D209">
        <v>108.92</v>
      </c>
      <c r="E209" s="12">
        <f t="shared" si="16"/>
        <v>-7.0850963798777644E-2</v>
      </c>
      <c r="F209" s="12">
        <f t="shared" si="16"/>
        <v>-3.8439902493905276E-3</v>
      </c>
      <c r="G209" s="12">
        <f t="shared" si="16"/>
        <v>-2.4101782994355281E-2</v>
      </c>
    </row>
    <row r="210" spans="1:7" x14ac:dyDescent="0.3">
      <c r="A210" t="s">
        <v>244</v>
      </c>
      <c r="B210">
        <v>394.04</v>
      </c>
      <c r="C210">
        <v>211.21</v>
      </c>
      <c r="D210">
        <v>109.02</v>
      </c>
      <c r="E210" s="12">
        <f t="shared" si="16"/>
        <v>-3.0865759247077351E-3</v>
      </c>
      <c r="F210" s="12">
        <f t="shared" si="16"/>
        <v>-6.0705882352940499E-3</v>
      </c>
      <c r="G210" s="12">
        <f t="shared" si="16"/>
        <v>9.1810503121547704E-4</v>
      </c>
    </row>
    <row r="211" spans="1:7" x14ac:dyDescent="0.3">
      <c r="A211" t="s">
        <v>245</v>
      </c>
      <c r="B211">
        <v>391.16</v>
      </c>
      <c r="C211">
        <v>210.14</v>
      </c>
      <c r="D211">
        <v>108.73</v>
      </c>
      <c r="E211" s="12">
        <f t="shared" si="16"/>
        <v>-7.3089026494771447E-3</v>
      </c>
      <c r="F211" s="12">
        <f t="shared" si="16"/>
        <v>-5.0660480090906068E-3</v>
      </c>
      <c r="G211" s="12">
        <f t="shared" si="16"/>
        <v>-2.6600623738762819E-3</v>
      </c>
    </row>
    <row r="212" spans="1:7" x14ac:dyDescent="0.3">
      <c r="A212" t="s">
        <v>246</v>
      </c>
      <c r="B212">
        <v>391.85</v>
      </c>
      <c r="C212">
        <v>209.28</v>
      </c>
      <c r="D212">
        <v>111.01</v>
      </c>
      <c r="E212" s="12">
        <f t="shared" si="16"/>
        <v>1.7639840474485968E-3</v>
      </c>
      <c r="F212" s="12">
        <f t="shared" si="16"/>
        <v>-4.092509755401097E-3</v>
      </c>
      <c r="G212" s="12">
        <f t="shared" si="16"/>
        <v>2.0969373677917735E-2</v>
      </c>
    </row>
    <row r="213" spans="1:7" x14ac:dyDescent="0.3">
      <c r="A213" t="s">
        <v>247</v>
      </c>
      <c r="B213">
        <v>387.3</v>
      </c>
      <c r="C213">
        <v>208.37</v>
      </c>
      <c r="D213">
        <v>106.43</v>
      </c>
      <c r="E213" s="12">
        <f t="shared" si="16"/>
        <v>-1.1611586066096802E-2</v>
      </c>
      <c r="F213" s="12">
        <f t="shared" si="16"/>
        <v>-4.3482415902140747E-3</v>
      </c>
      <c r="G213" s="12">
        <f t="shared" si="16"/>
        <v>-4.1257544365372434E-2</v>
      </c>
    </row>
    <row r="214" spans="1:7" x14ac:dyDescent="0.3">
      <c r="A214" t="s">
        <v>248</v>
      </c>
      <c r="B214">
        <v>374.39</v>
      </c>
      <c r="C214">
        <v>204.6</v>
      </c>
      <c r="D214">
        <v>102.71</v>
      </c>
      <c r="E214" s="12">
        <f t="shared" si="16"/>
        <v>-3.3333333333333437E-2</v>
      </c>
      <c r="F214" s="12">
        <f t="shared" si="16"/>
        <v>-1.8092815664443096E-2</v>
      </c>
      <c r="G214" s="12">
        <f t="shared" si="16"/>
        <v>-3.4952550972470298E-2</v>
      </c>
    </row>
    <row r="215" spans="1:7" x14ac:dyDescent="0.3">
      <c r="A215" t="s">
        <v>249</v>
      </c>
      <c r="B215">
        <v>366.82</v>
      </c>
      <c r="C215">
        <v>199.74</v>
      </c>
      <c r="D215">
        <v>98.89</v>
      </c>
      <c r="E215" s="12">
        <f t="shared" si="16"/>
        <v>-2.0219557146291312E-2</v>
      </c>
      <c r="F215" s="12">
        <f t="shared" si="16"/>
        <v>-2.3753665689149495E-2</v>
      </c>
      <c r="G215" s="12">
        <f t="shared" si="16"/>
        <v>-3.7192094245935059E-2</v>
      </c>
    </row>
    <row r="216" spans="1:7" x14ac:dyDescent="0.3">
      <c r="A216" t="s">
        <v>250</v>
      </c>
      <c r="B216">
        <v>359.12</v>
      </c>
      <c r="C216">
        <v>193.16</v>
      </c>
      <c r="D216">
        <v>96.91</v>
      </c>
      <c r="E216" s="12">
        <f t="shared" si="16"/>
        <v>-2.0991221852679764E-2</v>
      </c>
      <c r="F216" s="12">
        <f t="shared" si="16"/>
        <v>-3.2942825673375475E-2</v>
      </c>
      <c r="G216" s="12">
        <f t="shared" si="16"/>
        <v>-2.0022246941045596E-2</v>
      </c>
    </row>
    <row r="217" spans="1:7" x14ac:dyDescent="0.3">
      <c r="A217" t="s">
        <v>251</v>
      </c>
      <c r="B217">
        <v>367.78</v>
      </c>
      <c r="C217">
        <v>196.98</v>
      </c>
      <c r="D217">
        <v>101.49</v>
      </c>
      <c r="E217" s="12">
        <f t="shared" si="16"/>
        <v>2.4114502116284076E-2</v>
      </c>
      <c r="F217" s="12">
        <f t="shared" si="16"/>
        <v>1.9776351211430843E-2</v>
      </c>
      <c r="G217" s="12">
        <f t="shared" si="16"/>
        <v>4.7260344649674879E-2</v>
      </c>
    </row>
    <row r="218" spans="1:7" x14ac:dyDescent="0.3">
      <c r="A218" t="s">
        <v>252</v>
      </c>
      <c r="B218">
        <v>371.61</v>
      </c>
      <c r="C218">
        <v>194.27</v>
      </c>
      <c r="D218">
        <v>104.49</v>
      </c>
      <c r="E218" s="12">
        <f t="shared" si="16"/>
        <v>1.0413834357496432E-2</v>
      </c>
      <c r="F218" s="12">
        <f t="shared" si="16"/>
        <v>-1.3757741902731158E-2</v>
      </c>
      <c r="G218" s="12">
        <f t="shared" si="16"/>
        <v>2.9559562518474802E-2</v>
      </c>
    </row>
    <row r="219" spans="1:7" x14ac:dyDescent="0.3">
      <c r="A219" t="s">
        <v>253</v>
      </c>
      <c r="B219">
        <v>385.73</v>
      </c>
      <c r="C219">
        <v>202.14</v>
      </c>
      <c r="D219">
        <v>112.2</v>
      </c>
      <c r="E219" s="12">
        <f t="shared" si="16"/>
        <v>3.7996824627970271E-2</v>
      </c>
      <c r="F219" s="12">
        <f t="shared" si="16"/>
        <v>4.0510629536212317E-2</v>
      </c>
      <c r="G219" s="12">
        <f t="shared" si="16"/>
        <v>7.3786965259833526E-2</v>
      </c>
    </row>
    <row r="220" spans="1:7" x14ac:dyDescent="0.3">
      <c r="A220" t="s">
        <v>254</v>
      </c>
      <c r="B220">
        <v>387.81</v>
      </c>
      <c r="C220">
        <v>202.52</v>
      </c>
      <c r="D220">
        <v>110.71</v>
      </c>
      <c r="E220" s="12">
        <f t="shared" si="16"/>
        <v>5.3923729033260592E-3</v>
      </c>
      <c r="F220" s="12">
        <f t="shared" si="16"/>
        <v>1.8798852280599299E-3</v>
      </c>
      <c r="G220" s="12">
        <f t="shared" si="16"/>
        <v>-1.3279857397504591E-2</v>
      </c>
    </row>
    <row r="221" spans="1:7" x14ac:dyDescent="0.3">
      <c r="A221" t="s">
        <v>255</v>
      </c>
      <c r="B221">
        <v>388.45</v>
      </c>
      <c r="C221">
        <v>198.15</v>
      </c>
      <c r="D221">
        <v>110.93</v>
      </c>
      <c r="E221" s="12">
        <f t="shared" si="16"/>
        <v>1.6502926690904474E-3</v>
      </c>
      <c r="F221" s="12">
        <f t="shared" si="16"/>
        <v>-2.1578115741655135E-2</v>
      </c>
      <c r="G221" s="12">
        <f t="shared" si="16"/>
        <v>1.9871736970464848E-3</v>
      </c>
    </row>
    <row r="222" spans="1:7" x14ac:dyDescent="0.3">
      <c r="A222" t="s">
        <v>256</v>
      </c>
      <c r="B222">
        <v>381.35</v>
      </c>
      <c r="C222">
        <v>190.42</v>
      </c>
      <c r="D222">
        <v>107.57</v>
      </c>
      <c r="E222" s="12">
        <f t="shared" si="16"/>
        <v>-1.8277770626850209E-2</v>
      </c>
      <c r="F222" s="12">
        <f t="shared" si="16"/>
        <v>-3.9010850365884475E-2</v>
      </c>
      <c r="G222" s="12">
        <f t="shared" si="16"/>
        <v>-3.0289371675831678E-2</v>
      </c>
    </row>
    <row r="223" spans="1:7" x14ac:dyDescent="0.3">
      <c r="A223" t="s">
        <v>257</v>
      </c>
      <c r="B223">
        <v>390.49</v>
      </c>
      <c r="C223">
        <v>198.85</v>
      </c>
      <c r="D223">
        <v>114.33</v>
      </c>
      <c r="E223" s="12">
        <f t="shared" si="16"/>
        <v>2.3967483938639011E-2</v>
      </c>
      <c r="F223" s="12">
        <f t="shared" si="16"/>
        <v>4.4270559815145605E-2</v>
      </c>
      <c r="G223" s="12">
        <f t="shared" si="16"/>
        <v>6.2842800037185231E-2</v>
      </c>
    </row>
    <row r="224" spans="1:7" x14ac:dyDescent="0.3">
      <c r="A224" t="s">
        <v>258</v>
      </c>
      <c r="B224">
        <v>354.56</v>
      </c>
      <c r="C224">
        <v>172.42</v>
      </c>
      <c r="D224">
        <v>96.3</v>
      </c>
      <c r="E224" s="12">
        <f t="shared" si="16"/>
        <v>-9.2012599554405994E-2</v>
      </c>
      <c r="F224" s="12">
        <f t="shared" si="16"/>
        <v>-0.13291425697762138</v>
      </c>
      <c r="G224" s="12">
        <f t="shared" si="16"/>
        <v>-0.15770139071109945</v>
      </c>
    </row>
    <row r="225" spans="1:7" x14ac:dyDescent="0.3">
      <c r="A225" t="s">
        <v>259</v>
      </c>
      <c r="B225">
        <v>357.86</v>
      </c>
      <c r="C225">
        <v>181.46</v>
      </c>
      <c r="D225">
        <v>97.64</v>
      </c>
      <c r="E225" s="12">
        <f t="shared" si="16"/>
        <v>9.3073104693142117E-3</v>
      </c>
      <c r="F225" s="12">
        <f t="shared" si="16"/>
        <v>5.2430112515949645E-2</v>
      </c>
      <c r="G225" s="12">
        <f t="shared" si="16"/>
        <v>1.3914849428868115E-2</v>
      </c>
    </row>
    <row r="226" spans="1:7" x14ac:dyDescent="0.3">
      <c r="A226" t="s">
        <v>260</v>
      </c>
      <c r="B226">
        <v>359.84</v>
      </c>
      <c r="C226">
        <v>188.38</v>
      </c>
      <c r="D226">
        <v>94.31</v>
      </c>
      <c r="E226" s="12">
        <f t="shared" si="16"/>
        <v>5.5328899569662138E-3</v>
      </c>
      <c r="F226" s="12">
        <f t="shared" si="16"/>
        <v>3.8135126198611147E-2</v>
      </c>
      <c r="G226" s="12">
        <f t="shared" si="16"/>
        <v>-3.4104875051208516E-2</v>
      </c>
    </row>
    <row r="227" spans="1:7" x14ac:dyDescent="0.3">
      <c r="A227" t="s">
        <v>261</v>
      </c>
      <c r="B227">
        <v>373.11</v>
      </c>
      <c r="C227">
        <v>203.19</v>
      </c>
      <c r="D227">
        <v>101.8</v>
      </c>
      <c r="E227" s="12">
        <f t="shared" si="16"/>
        <v>3.6877501111605371E-2</v>
      </c>
      <c r="F227" s="12">
        <f t="shared" si="16"/>
        <v>7.8617687652617008E-2</v>
      </c>
      <c r="G227" s="12">
        <f t="shared" si="16"/>
        <v>7.9418937546389401E-2</v>
      </c>
    </row>
    <row r="228" spans="1:7" x14ac:dyDescent="0.3">
      <c r="A228" t="s">
        <v>262</v>
      </c>
      <c r="B228">
        <v>382.14</v>
      </c>
      <c r="C228">
        <v>223.89</v>
      </c>
      <c r="D228">
        <v>110.42</v>
      </c>
      <c r="E228" s="12">
        <f t="shared" si="16"/>
        <v>2.4201977968963506E-2</v>
      </c>
      <c r="F228" s="12">
        <f t="shared" si="16"/>
        <v>0.10187509227816327</v>
      </c>
      <c r="G228" s="12">
        <f t="shared" si="16"/>
        <v>8.467583497053055E-2</v>
      </c>
    </row>
    <row r="229" spans="1:7" x14ac:dyDescent="0.3">
      <c r="A229" t="s">
        <v>263</v>
      </c>
      <c r="B229">
        <v>382.19</v>
      </c>
      <c r="C229">
        <v>223.19</v>
      </c>
      <c r="D229">
        <v>110.15</v>
      </c>
      <c r="E229" s="12">
        <f t="shared" si="16"/>
        <v>1.3084209975411376E-4</v>
      </c>
      <c r="F229" s="12">
        <f t="shared" si="16"/>
        <v>-3.1265353521817696E-3</v>
      </c>
      <c r="G229" s="12">
        <f t="shared" si="16"/>
        <v>-2.4452092012315907E-3</v>
      </c>
    </row>
    <row r="230" spans="1:7" x14ac:dyDescent="0.3">
      <c r="A230" t="s">
        <v>264</v>
      </c>
      <c r="B230">
        <v>375.39</v>
      </c>
      <c r="C230">
        <v>222.13</v>
      </c>
      <c r="D230">
        <v>108.38</v>
      </c>
      <c r="E230" s="12">
        <f t="shared" si="16"/>
        <v>-1.7792197598053394E-2</v>
      </c>
      <c r="F230" s="12">
        <f t="shared" si="16"/>
        <v>-4.7493167256598134E-3</v>
      </c>
      <c r="G230" s="12">
        <f t="shared" si="16"/>
        <v>-1.6068996822514836E-2</v>
      </c>
    </row>
    <row r="231" spans="1:7" x14ac:dyDescent="0.3">
      <c r="A231" t="s">
        <v>265</v>
      </c>
      <c r="B231">
        <v>378.8</v>
      </c>
      <c r="C231">
        <v>217.9</v>
      </c>
      <c r="D231">
        <v>109.67</v>
      </c>
      <c r="E231" s="12">
        <f t="shared" si="16"/>
        <v>9.0838860917978881E-3</v>
      </c>
      <c r="F231" s="12">
        <f t="shared" si="16"/>
        <v>-1.9042902804663919E-2</v>
      </c>
      <c r="G231" s="12">
        <f t="shared" si="16"/>
        <v>1.190256504890197E-2</v>
      </c>
    </row>
    <row r="232" spans="1:7" x14ac:dyDescent="0.3">
      <c r="A232" t="s">
        <v>266</v>
      </c>
      <c r="B232">
        <v>390.58</v>
      </c>
      <c r="C232">
        <v>223.85</v>
      </c>
      <c r="D232">
        <v>111.43</v>
      </c>
      <c r="E232" s="12">
        <f t="shared" si="16"/>
        <v>3.1098204857444411E-2</v>
      </c>
      <c r="F232" s="12">
        <f t="shared" si="16"/>
        <v>2.7306103717301466E-2</v>
      </c>
      <c r="G232" s="12">
        <f t="shared" si="16"/>
        <v>1.6048144433300049E-2</v>
      </c>
    </row>
    <row r="233" spans="1:7" x14ac:dyDescent="0.3">
      <c r="A233" t="s">
        <v>267</v>
      </c>
      <c r="B233">
        <v>389.97</v>
      </c>
      <c r="C233">
        <v>221.53</v>
      </c>
      <c r="D233">
        <v>113.76</v>
      </c>
      <c r="E233" s="12">
        <f t="shared" si="16"/>
        <v>-1.5617799170463131E-3</v>
      </c>
      <c r="F233" s="12">
        <f t="shared" si="16"/>
        <v>-1.0364083091355836E-2</v>
      </c>
      <c r="G233" s="12">
        <f t="shared" si="16"/>
        <v>2.0909988333482898E-2</v>
      </c>
    </row>
    <row r="234" spans="1:7" x14ac:dyDescent="0.3">
      <c r="A234" t="s">
        <v>268</v>
      </c>
      <c r="B234">
        <v>395.16</v>
      </c>
      <c r="C234">
        <v>223.75</v>
      </c>
      <c r="D234">
        <v>120.69</v>
      </c>
      <c r="E234" s="12">
        <f t="shared" si="16"/>
        <v>1.3308716055081105E-2</v>
      </c>
      <c r="F234" s="12">
        <f t="shared" si="16"/>
        <v>1.0021216088114571E-2</v>
      </c>
      <c r="G234" s="12">
        <f t="shared" si="16"/>
        <v>6.0917721518987333E-2</v>
      </c>
    </row>
    <row r="235" spans="1:7" x14ac:dyDescent="0.3">
      <c r="A235" t="s">
        <v>269</v>
      </c>
      <c r="B235">
        <v>393.08</v>
      </c>
      <c r="C235">
        <v>220.73</v>
      </c>
      <c r="D235">
        <v>121.41</v>
      </c>
      <c r="E235" s="12">
        <f t="shared" si="16"/>
        <v>-5.2636906569492048E-3</v>
      </c>
      <c r="F235" s="12">
        <f t="shared" si="16"/>
        <v>-1.3497206703910636E-2</v>
      </c>
      <c r="G235" s="12">
        <f t="shared" si="16"/>
        <v>5.9656972408650422E-3</v>
      </c>
    </row>
    <row r="236" spans="1:7" x14ac:dyDescent="0.3">
      <c r="A236" t="s">
        <v>270</v>
      </c>
      <c r="B236">
        <v>391.26</v>
      </c>
      <c r="C236">
        <v>218.27</v>
      </c>
      <c r="D236">
        <v>117.7</v>
      </c>
      <c r="E236" s="12">
        <f t="shared" si="16"/>
        <v>-4.6301007428513064E-3</v>
      </c>
      <c r="F236" s="12">
        <f t="shared" si="16"/>
        <v>-1.1144837584379008E-2</v>
      </c>
      <c r="G236" s="12">
        <f t="shared" si="16"/>
        <v>-3.055761469401197E-2</v>
      </c>
    </row>
    <row r="237" spans="1:7" x14ac:dyDescent="0.3">
      <c r="A237" t="s">
        <v>271</v>
      </c>
      <c r="B237">
        <v>386.84</v>
      </c>
      <c r="C237">
        <v>214.1</v>
      </c>
      <c r="D237">
        <v>118.53</v>
      </c>
      <c r="E237" s="12">
        <f t="shared" si="16"/>
        <v>-1.129683586362018E-2</v>
      </c>
      <c r="F237" s="12">
        <f t="shared" si="16"/>
        <v>-1.9104778485362184E-2</v>
      </c>
      <c r="G237" s="12">
        <f t="shared" si="16"/>
        <v>7.0518266779948657E-3</v>
      </c>
    </row>
    <row r="238" spans="1:7" x14ac:dyDescent="0.3">
      <c r="A238" t="s">
        <v>272</v>
      </c>
      <c r="B238">
        <v>387.82</v>
      </c>
      <c r="C238">
        <v>215.24</v>
      </c>
      <c r="D238">
        <v>117.52</v>
      </c>
      <c r="E238" s="12">
        <f t="shared" si="16"/>
        <v>2.533347120256435E-3</v>
      </c>
      <c r="F238" s="12">
        <f t="shared" si="16"/>
        <v>5.3246146660439475E-3</v>
      </c>
      <c r="G238" s="12">
        <f t="shared" si="16"/>
        <v>-8.5210495233274397E-3</v>
      </c>
    </row>
    <row r="239" spans="1:7" x14ac:dyDescent="0.3">
      <c r="A239" t="s">
        <v>273</v>
      </c>
      <c r="B239">
        <v>383.52</v>
      </c>
      <c r="C239">
        <v>212.69</v>
      </c>
      <c r="D239">
        <v>115.43</v>
      </c>
      <c r="E239" s="12">
        <f t="shared" si="16"/>
        <v>-1.1087617967098118E-2</v>
      </c>
      <c r="F239" s="12">
        <f t="shared" si="16"/>
        <v>-1.1847240289909022E-2</v>
      </c>
      <c r="G239" s="12">
        <f t="shared" si="16"/>
        <v>-1.7784206943498915E-2</v>
      </c>
    </row>
    <row r="240" spans="1:7" x14ac:dyDescent="0.3">
      <c r="A240" t="s">
        <v>274</v>
      </c>
      <c r="B240">
        <v>388.7</v>
      </c>
      <c r="C240">
        <v>214</v>
      </c>
      <c r="D240">
        <v>119.53</v>
      </c>
      <c r="E240" s="12">
        <f t="shared" si="16"/>
        <v>1.350646641635378E-2</v>
      </c>
      <c r="F240" s="12">
        <f t="shared" si="16"/>
        <v>6.1591988339837478E-3</v>
      </c>
      <c r="G240" s="12">
        <f t="shared" si="16"/>
        <v>3.5519362384128783E-2</v>
      </c>
    </row>
    <row r="241" spans="1:7" x14ac:dyDescent="0.3">
      <c r="A241" t="s">
        <v>275</v>
      </c>
      <c r="B241">
        <v>388.56</v>
      </c>
      <c r="C241">
        <v>213.49</v>
      </c>
      <c r="D241">
        <v>121.67</v>
      </c>
      <c r="E241" s="12">
        <f t="shared" si="16"/>
        <v>-3.6017494211471046E-4</v>
      </c>
      <c r="F241" s="12">
        <f t="shared" si="16"/>
        <v>-2.383177570093431E-3</v>
      </c>
      <c r="G241" s="12">
        <f t="shared" si="16"/>
        <v>1.7903455199531404E-2</v>
      </c>
    </row>
    <row r="242" spans="1:7" x14ac:dyDescent="0.3">
      <c r="A242" t="s">
        <v>276</v>
      </c>
      <c r="B242">
        <v>378.77</v>
      </c>
      <c r="C242">
        <v>209.68</v>
      </c>
      <c r="D242">
        <v>115.58</v>
      </c>
      <c r="E242" s="12">
        <f t="shared" si="16"/>
        <v>-2.5195593988058484E-2</v>
      </c>
      <c r="F242" s="12">
        <f t="shared" si="16"/>
        <v>-1.7846269146095883E-2</v>
      </c>
      <c r="G242" s="12">
        <f t="shared" si="16"/>
        <v>-5.0053423193885171E-2</v>
      </c>
    </row>
    <row r="243" spans="1:7" x14ac:dyDescent="0.3">
      <c r="A243" t="s">
        <v>277</v>
      </c>
      <c r="B243">
        <v>383.27</v>
      </c>
      <c r="C243">
        <v>216.98</v>
      </c>
      <c r="D243">
        <v>115.74</v>
      </c>
      <c r="E243" s="12">
        <f t="shared" si="16"/>
        <v>1.1880560762467907E-2</v>
      </c>
      <c r="F243" s="12">
        <f t="shared" si="16"/>
        <v>3.4814956123616847E-2</v>
      </c>
      <c r="G243" s="12">
        <f t="shared" si="16"/>
        <v>1.3843225471534826E-3</v>
      </c>
    </row>
    <row r="244" spans="1:7" x14ac:dyDescent="0.3">
      <c r="A244" t="s">
        <v>278</v>
      </c>
      <c r="B244">
        <v>380.45</v>
      </c>
      <c r="C244">
        <v>220.84</v>
      </c>
      <c r="D244">
        <v>108.76</v>
      </c>
      <c r="E244" s="12">
        <f t="shared" si="16"/>
        <v>-7.3577373653037625E-3</v>
      </c>
      <c r="F244" s="12">
        <f t="shared" si="16"/>
        <v>1.778965803299859E-2</v>
      </c>
      <c r="G244" s="12">
        <f t="shared" si="16"/>
        <v>-6.0307585968550126E-2</v>
      </c>
    </row>
    <row r="245" spans="1:7" x14ac:dyDescent="0.3">
      <c r="A245" t="s">
        <v>279</v>
      </c>
      <c r="B245">
        <v>380.16</v>
      </c>
      <c r="C245">
        <v>227.48</v>
      </c>
      <c r="D245">
        <v>106.98</v>
      </c>
      <c r="E245" s="12">
        <f t="shared" si="16"/>
        <v>-7.6225522407669111E-4</v>
      </c>
      <c r="F245" s="12">
        <f t="shared" si="16"/>
        <v>3.006701684477453E-2</v>
      </c>
      <c r="G245" s="12">
        <f t="shared" si="16"/>
        <v>-1.6366311143802825E-2</v>
      </c>
    </row>
    <row r="246" spans="1:7" x14ac:dyDescent="0.3">
      <c r="A246" t="s">
        <v>280</v>
      </c>
      <c r="B246">
        <v>393.31</v>
      </c>
      <c r="C246">
        <v>239.07</v>
      </c>
      <c r="D246">
        <v>112.69</v>
      </c>
      <c r="E246" s="12">
        <f t="shared" si="16"/>
        <v>3.4590698653198526E-2</v>
      </c>
      <c r="F246" s="12">
        <f t="shared" si="16"/>
        <v>5.0949534024969267E-2</v>
      </c>
      <c r="G246" s="12">
        <f t="shared" si="16"/>
        <v>5.3374462516358134E-2</v>
      </c>
    </row>
    <row r="247" spans="1:7" x14ac:dyDescent="0.3">
      <c r="A247" t="s">
        <v>281</v>
      </c>
      <c r="B247">
        <v>396.89</v>
      </c>
      <c r="C247">
        <v>235.33</v>
      </c>
      <c r="D247">
        <v>110.57</v>
      </c>
      <c r="E247" s="12">
        <f t="shared" si="16"/>
        <v>9.1022348783402762E-3</v>
      </c>
      <c r="F247" s="12">
        <f t="shared" si="16"/>
        <v>-1.5643953653741494E-2</v>
      </c>
      <c r="G247" s="12">
        <f t="shared" si="16"/>
        <v>-1.8812671931848435E-2</v>
      </c>
    </row>
    <row r="248" spans="1:7" x14ac:dyDescent="0.3">
      <c r="A248" t="s">
        <v>282</v>
      </c>
      <c r="B248">
        <v>401.02</v>
      </c>
      <c r="C248">
        <v>235.74</v>
      </c>
      <c r="D248">
        <v>117.3</v>
      </c>
      <c r="E248" s="12">
        <f t="shared" si="16"/>
        <v>1.0405905918516423E-2</v>
      </c>
      <c r="F248" s="12">
        <f t="shared" si="16"/>
        <v>1.7422343092678982E-3</v>
      </c>
      <c r="G248" s="12">
        <f t="shared" si="16"/>
        <v>6.0866419462783705E-2</v>
      </c>
    </row>
    <row r="249" spans="1:7" x14ac:dyDescent="0.3">
      <c r="A249" t="s">
        <v>283</v>
      </c>
      <c r="B249">
        <v>388.61</v>
      </c>
      <c r="C249">
        <v>235.93</v>
      </c>
      <c r="D249">
        <v>115.99</v>
      </c>
      <c r="E249" s="12">
        <f t="shared" si="16"/>
        <v>-3.0946087476933726E-2</v>
      </c>
      <c r="F249" s="12">
        <f t="shared" si="16"/>
        <v>8.0597268176796355E-4</v>
      </c>
      <c r="G249" s="12">
        <f t="shared" si="16"/>
        <v>-1.1167945439045202E-2</v>
      </c>
    </row>
    <row r="250" spans="1:7" x14ac:dyDescent="0.3">
      <c r="A250" t="s">
        <v>284</v>
      </c>
      <c r="B250">
        <v>388.49</v>
      </c>
      <c r="C250">
        <v>238.03</v>
      </c>
      <c r="D250">
        <v>114.06</v>
      </c>
      <c r="E250" s="12">
        <f t="shared" si="16"/>
        <v>-3.0879287717766601E-4</v>
      </c>
      <c r="F250" s="12">
        <f t="shared" si="16"/>
        <v>8.9009451956088004E-3</v>
      </c>
      <c r="G250" s="12">
        <f t="shared" si="16"/>
        <v>-1.6639365462539857E-2</v>
      </c>
    </row>
    <row r="251" spans="1:7" x14ac:dyDescent="0.3">
      <c r="A251" t="s">
        <v>285</v>
      </c>
      <c r="B251">
        <v>396.99</v>
      </c>
      <c r="C251">
        <v>241.84</v>
      </c>
      <c r="D251">
        <v>124.92</v>
      </c>
      <c r="E251" s="12">
        <f t="shared" si="16"/>
        <v>2.1879585060104567E-2</v>
      </c>
      <c r="F251" s="12">
        <f t="shared" si="16"/>
        <v>1.6006385749695484E-2</v>
      </c>
      <c r="G251" s="12">
        <f t="shared" si="16"/>
        <v>9.5213045765386584E-2</v>
      </c>
    </row>
    <row r="252" spans="1:7" x14ac:dyDescent="0.3">
      <c r="A252" t="s">
        <v>286</v>
      </c>
      <c r="B252">
        <v>392.53</v>
      </c>
      <c r="C252">
        <v>237.3</v>
      </c>
      <c r="D252">
        <v>120.15</v>
      </c>
      <c r="E252" s="12">
        <f t="shared" si="16"/>
        <v>-1.1234539912844288E-2</v>
      </c>
      <c r="F252" s="12">
        <f t="shared" si="16"/>
        <v>-1.877274230896453E-2</v>
      </c>
      <c r="G252" s="12">
        <f t="shared" si="16"/>
        <v>-3.8184438040345769E-2</v>
      </c>
    </row>
    <row r="253" spans="1:7" x14ac:dyDescent="0.3">
      <c r="A253" t="s">
        <v>287</v>
      </c>
      <c r="B253">
        <v>399.73</v>
      </c>
      <c r="C253">
        <v>240.36</v>
      </c>
      <c r="D253">
        <v>131.28</v>
      </c>
      <c r="E253" s="12">
        <f t="shared" si="16"/>
        <v>1.834254706646643E-2</v>
      </c>
      <c r="F253" s="12">
        <f t="shared" si="16"/>
        <v>1.2895069532237624E-2</v>
      </c>
      <c r="G253" s="12">
        <f t="shared" si="16"/>
        <v>9.2634207240948729E-2</v>
      </c>
    </row>
    <row r="254" spans="1:7" x14ac:dyDescent="0.3">
      <c r="A254" t="s">
        <v>288</v>
      </c>
      <c r="B254">
        <v>397.9</v>
      </c>
      <c r="C254">
        <v>247.04</v>
      </c>
      <c r="D254">
        <v>126.63</v>
      </c>
      <c r="E254" s="12">
        <f t="shared" si="16"/>
        <v>-4.5780902108925048E-3</v>
      </c>
      <c r="F254" s="12">
        <f t="shared" si="16"/>
        <v>2.7791645864536418E-2</v>
      </c>
      <c r="G254" s="12">
        <f t="shared" si="16"/>
        <v>-3.542047531992687E-2</v>
      </c>
    </row>
    <row r="255" spans="1:7" x14ac:dyDescent="0.3">
      <c r="A255" t="s">
        <v>289</v>
      </c>
      <c r="B255">
        <v>404</v>
      </c>
      <c r="C255">
        <v>247.1</v>
      </c>
      <c r="D255">
        <v>130.28</v>
      </c>
      <c r="E255" s="12">
        <f t="shared" si="16"/>
        <v>1.5330485046494147E-2</v>
      </c>
      <c r="F255" s="12">
        <f t="shared" si="16"/>
        <v>2.4287564766845016E-4</v>
      </c>
      <c r="G255" s="12">
        <f t="shared" si="16"/>
        <v>2.882413330174538E-2</v>
      </c>
    </row>
    <row r="256" spans="1:7" x14ac:dyDescent="0.3">
      <c r="A256" t="s">
        <v>290</v>
      </c>
      <c r="B256">
        <v>408.21</v>
      </c>
      <c r="C256">
        <v>245.55</v>
      </c>
      <c r="D256">
        <v>134.43</v>
      </c>
      <c r="E256" s="12">
        <f t="shared" si="16"/>
        <v>1.0420792079207875E-2</v>
      </c>
      <c r="F256" s="12">
        <f t="shared" si="16"/>
        <v>-6.2727640631322634E-3</v>
      </c>
      <c r="G256" s="12">
        <f t="shared" si="16"/>
        <v>3.1854467301197564E-2</v>
      </c>
    </row>
    <row r="257" spans="1:7" x14ac:dyDescent="0.3">
      <c r="A257" t="s">
        <v>291</v>
      </c>
      <c r="B257">
        <v>416.13</v>
      </c>
      <c r="C257">
        <v>245.83</v>
      </c>
      <c r="D257">
        <v>140.11000000000001</v>
      </c>
      <c r="E257" s="12">
        <f t="shared" si="16"/>
        <v>1.9401778496362265E-2</v>
      </c>
      <c r="F257" s="12">
        <f t="shared" si="16"/>
        <v>1.1402972917939902E-3</v>
      </c>
      <c r="G257" s="12">
        <f t="shared" si="16"/>
        <v>4.2252473406233726E-2</v>
      </c>
    </row>
    <row r="258" spans="1:7" x14ac:dyDescent="0.3">
      <c r="A258" t="s">
        <v>292</v>
      </c>
      <c r="B258">
        <v>414.77</v>
      </c>
      <c r="C258">
        <v>244.87</v>
      </c>
      <c r="D258">
        <v>139.22999999999999</v>
      </c>
      <c r="E258" s="12">
        <f t="shared" si="16"/>
        <v>-3.2682094537764828E-3</v>
      </c>
      <c r="F258" s="12">
        <f t="shared" si="16"/>
        <v>-3.905137696782357E-3</v>
      </c>
      <c r="G258" s="12">
        <f t="shared" si="16"/>
        <v>-6.2807793876241691E-3</v>
      </c>
    </row>
    <row r="259" spans="1:7" x14ac:dyDescent="0.3">
      <c r="A259" t="s">
        <v>293</v>
      </c>
      <c r="B259">
        <v>409.64</v>
      </c>
      <c r="C259">
        <v>244.47</v>
      </c>
      <c r="D259">
        <v>139.4</v>
      </c>
      <c r="E259" s="12">
        <f t="shared" si="16"/>
        <v>-1.2368300503893703E-2</v>
      </c>
      <c r="F259" s="12">
        <f t="shared" si="16"/>
        <v>-1.6335198268468964E-3</v>
      </c>
      <c r="G259" s="12">
        <f t="shared" si="16"/>
        <v>1.2210012210014387E-3</v>
      </c>
    </row>
    <row r="260" spans="1:7" x14ac:dyDescent="0.3">
      <c r="A260" t="s">
        <v>294</v>
      </c>
      <c r="B260">
        <v>408.43</v>
      </c>
      <c r="C260">
        <v>244.6</v>
      </c>
      <c r="D260">
        <v>138.85</v>
      </c>
      <c r="E260" s="12">
        <f t="shared" ref="E260:G323" si="17">B260/B259-1</f>
        <v>-2.9538131041889626E-3</v>
      </c>
      <c r="F260" s="12">
        <f t="shared" si="17"/>
        <v>5.3176258845666347E-4</v>
      </c>
      <c r="G260" s="12">
        <f t="shared" si="17"/>
        <v>-3.9454806312769763E-3</v>
      </c>
    </row>
    <row r="261" spans="1:7" x14ac:dyDescent="0.3">
      <c r="A261" t="s">
        <v>295</v>
      </c>
      <c r="B261">
        <v>410.54</v>
      </c>
      <c r="C261">
        <v>241.53</v>
      </c>
      <c r="D261">
        <v>135.29</v>
      </c>
      <c r="E261" s="12">
        <f t="shared" si="17"/>
        <v>5.1661239380065282E-3</v>
      </c>
      <c r="F261" s="12">
        <f t="shared" si="17"/>
        <v>-1.2551103843008948E-2</v>
      </c>
      <c r="G261" s="12">
        <f t="shared" si="17"/>
        <v>-2.5639178970111698E-2</v>
      </c>
    </row>
    <row r="262" spans="1:7" x14ac:dyDescent="0.3">
      <c r="A262" t="s">
        <v>296</v>
      </c>
      <c r="B262">
        <v>409.04</v>
      </c>
      <c r="C262">
        <v>236.87</v>
      </c>
      <c r="D262">
        <v>131.13999999999999</v>
      </c>
      <c r="E262" s="12">
        <f t="shared" si="17"/>
        <v>-3.6537243630340166E-3</v>
      </c>
      <c r="F262" s="12">
        <f t="shared" si="17"/>
        <v>-1.9293669523454682E-2</v>
      </c>
      <c r="G262" s="12">
        <f t="shared" si="17"/>
        <v>-3.0674846625766916E-2</v>
      </c>
    </row>
    <row r="263" spans="1:7" x14ac:dyDescent="0.3">
      <c r="A263" t="s">
        <v>297</v>
      </c>
      <c r="B263">
        <v>411.44</v>
      </c>
      <c r="C263">
        <v>232.62</v>
      </c>
      <c r="D263">
        <v>132.80000000000001</v>
      </c>
      <c r="E263" s="12">
        <f t="shared" si="17"/>
        <v>5.8673968316056424E-3</v>
      </c>
      <c r="F263" s="12">
        <f t="shared" si="17"/>
        <v>-1.7942331236543207E-2</v>
      </c>
      <c r="G263" s="12">
        <f t="shared" si="17"/>
        <v>1.2658227848101555E-2</v>
      </c>
    </row>
    <row r="264" spans="1:7" x14ac:dyDescent="0.3">
      <c r="A264" t="s">
        <v>298</v>
      </c>
      <c r="B264">
        <v>412.22</v>
      </c>
      <c r="C264">
        <v>227.65</v>
      </c>
      <c r="D264">
        <v>133.57</v>
      </c>
      <c r="E264" s="12">
        <f t="shared" si="17"/>
        <v>1.8957806727590842E-3</v>
      </c>
      <c r="F264" s="12">
        <f t="shared" si="17"/>
        <v>-2.1365316825724401E-2</v>
      </c>
      <c r="G264" s="12">
        <f t="shared" si="17"/>
        <v>5.7981927710841763E-3</v>
      </c>
    </row>
    <row r="265" spans="1:7" x14ac:dyDescent="0.3">
      <c r="A265" t="s">
        <v>299</v>
      </c>
      <c r="B265">
        <v>409.75</v>
      </c>
      <c r="C265">
        <v>227.63</v>
      </c>
      <c r="D265">
        <v>129.84</v>
      </c>
      <c r="E265" s="12">
        <f t="shared" si="17"/>
        <v>-5.9919460482267262E-3</v>
      </c>
      <c r="F265" s="12">
        <f t="shared" si="17"/>
        <v>-8.7854162091005605E-5</v>
      </c>
      <c r="G265" s="12">
        <f t="shared" si="17"/>
        <v>-2.7925432357565283E-2</v>
      </c>
    </row>
    <row r="266" spans="1:7" x14ac:dyDescent="0.3">
      <c r="A266" t="s">
        <v>300</v>
      </c>
      <c r="B266">
        <v>415.82</v>
      </c>
      <c r="C266">
        <v>233.22</v>
      </c>
      <c r="D266">
        <v>128.68</v>
      </c>
      <c r="E266" s="12">
        <f t="shared" si="17"/>
        <v>1.4813910921293472E-2</v>
      </c>
      <c r="F266" s="12">
        <f t="shared" si="17"/>
        <v>2.4557395773843638E-2</v>
      </c>
      <c r="G266" s="12">
        <f t="shared" si="17"/>
        <v>-8.9340727048674573E-3</v>
      </c>
    </row>
    <row r="267" spans="1:7" x14ac:dyDescent="0.3">
      <c r="A267" t="s">
        <v>301</v>
      </c>
      <c r="B267">
        <v>413.29</v>
      </c>
      <c r="C267">
        <v>232.47</v>
      </c>
      <c r="D267">
        <v>124.83</v>
      </c>
      <c r="E267" s="12">
        <f t="shared" si="17"/>
        <v>-6.084363426482553E-3</v>
      </c>
      <c r="F267" s="12">
        <f t="shared" si="17"/>
        <v>-3.2158476974530892E-3</v>
      </c>
      <c r="G267" s="12">
        <f t="shared" si="17"/>
        <v>-2.9919179359651937E-2</v>
      </c>
    </row>
    <row r="268" spans="1:7" x14ac:dyDescent="0.3">
      <c r="A268" t="s">
        <v>302</v>
      </c>
      <c r="B268">
        <v>412.37</v>
      </c>
      <c r="C268">
        <v>232.8</v>
      </c>
      <c r="D268">
        <v>118.65</v>
      </c>
      <c r="E268" s="12">
        <f t="shared" si="17"/>
        <v>-2.2260398267560655E-3</v>
      </c>
      <c r="F268" s="12">
        <f t="shared" si="17"/>
        <v>1.4195380049040196E-3</v>
      </c>
      <c r="G268" s="12">
        <f t="shared" si="17"/>
        <v>-4.9507329968757396E-2</v>
      </c>
    </row>
    <row r="269" spans="1:7" x14ac:dyDescent="0.3">
      <c r="A269" t="s">
        <v>303</v>
      </c>
      <c r="B269">
        <v>410.92</v>
      </c>
      <c r="C269">
        <v>228.01</v>
      </c>
      <c r="D269">
        <v>116.66</v>
      </c>
      <c r="E269" s="12">
        <f t="shared" si="17"/>
        <v>-3.516259669714028E-3</v>
      </c>
      <c r="F269" s="12">
        <f t="shared" si="17"/>
        <v>-2.0575601374570485E-2</v>
      </c>
      <c r="G269" s="12">
        <f t="shared" si="17"/>
        <v>-1.6772018541930112E-2</v>
      </c>
    </row>
    <row r="270" spans="1:7" x14ac:dyDescent="0.3">
      <c r="A270" t="s">
        <v>304</v>
      </c>
      <c r="B270">
        <v>415.06</v>
      </c>
      <c r="C270">
        <v>236</v>
      </c>
      <c r="D270">
        <v>120.07</v>
      </c>
      <c r="E270" s="12">
        <f t="shared" si="17"/>
        <v>1.0074953762289507E-2</v>
      </c>
      <c r="F270" s="12">
        <f t="shared" si="17"/>
        <v>3.5042322705144624E-2</v>
      </c>
      <c r="G270" s="12">
        <f t="shared" si="17"/>
        <v>2.9230241728098738E-2</v>
      </c>
    </row>
    <row r="271" spans="1:7" x14ac:dyDescent="0.3">
      <c r="A271" t="s">
        <v>305</v>
      </c>
      <c r="B271">
        <v>414.99</v>
      </c>
      <c r="C271">
        <v>237.59</v>
      </c>
      <c r="D271">
        <v>124.65</v>
      </c>
      <c r="E271" s="12">
        <f t="shared" si="17"/>
        <v>-1.6865031561696942E-4</v>
      </c>
      <c r="F271" s="12">
        <f t="shared" si="17"/>
        <v>6.7372881355931558E-3</v>
      </c>
      <c r="G271" s="12">
        <f t="shared" si="17"/>
        <v>3.8144415757474848E-2</v>
      </c>
    </row>
    <row r="272" spans="1:7" x14ac:dyDescent="0.3">
      <c r="A272" t="s">
        <v>306</v>
      </c>
      <c r="B272">
        <v>442.33</v>
      </c>
      <c r="C272">
        <v>239.36</v>
      </c>
      <c r="D272">
        <v>123.7</v>
      </c>
      <c r="E272" s="12">
        <f t="shared" si="17"/>
        <v>6.5881105568808884E-2</v>
      </c>
      <c r="F272" s="12">
        <f t="shared" si="17"/>
        <v>7.4498084936234221E-3</v>
      </c>
      <c r="G272" s="12">
        <f t="shared" si="17"/>
        <v>-7.6213397513036352E-3</v>
      </c>
    </row>
    <row r="273" spans="1:7" x14ac:dyDescent="0.3">
      <c r="A273" t="s">
        <v>307</v>
      </c>
      <c r="B273">
        <v>447.2</v>
      </c>
      <c r="C273">
        <v>238.26</v>
      </c>
      <c r="D273">
        <v>128.99</v>
      </c>
      <c r="E273" s="12">
        <f t="shared" si="17"/>
        <v>1.1009879501729491E-2</v>
      </c>
      <c r="F273" s="12">
        <f t="shared" si="17"/>
        <v>-4.5955882352942679E-3</v>
      </c>
      <c r="G273" s="12">
        <f t="shared" si="17"/>
        <v>4.2764753435731606E-2</v>
      </c>
    </row>
    <row r="274" spans="1:7" x14ac:dyDescent="0.3">
      <c r="A274" t="s">
        <v>308</v>
      </c>
      <c r="B274">
        <v>434.56</v>
      </c>
      <c r="C274">
        <v>229.86</v>
      </c>
      <c r="D274">
        <v>118.42</v>
      </c>
      <c r="E274" s="12">
        <f t="shared" si="17"/>
        <v>-2.8264758497316578E-2</v>
      </c>
      <c r="F274" s="12">
        <f t="shared" si="17"/>
        <v>-3.525560312263909E-2</v>
      </c>
      <c r="G274" s="12">
        <f t="shared" si="17"/>
        <v>-8.1944336770292336E-2</v>
      </c>
    </row>
    <row r="275" spans="1:7" x14ac:dyDescent="0.3">
      <c r="A275" t="s">
        <v>309</v>
      </c>
      <c r="B275">
        <v>444.06</v>
      </c>
      <c r="C275">
        <v>222.78</v>
      </c>
      <c r="D275">
        <v>142.62</v>
      </c>
      <c r="E275" s="12">
        <f t="shared" si="17"/>
        <v>2.1861192930780593E-2</v>
      </c>
      <c r="F275" s="12">
        <f t="shared" si="17"/>
        <v>-3.0801357347950975E-2</v>
      </c>
      <c r="G275" s="12">
        <f t="shared" si="17"/>
        <v>0.2043573720655294</v>
      </c>
    </row>
    <row r="276" spans="1:7" x14ac:dyDescent="0.3">
      <c r="A276" t="s">
        <v>310</v>
      </c>
      <c r="B276">
        <v>446.71</v>
      </c>
      <c r="C276">
        <v>223.66</v>
      </c>
      <c r="D276">
        <v>147.22</v>
      </c>
      <c r="E276" s="12">
        <f t="shared" si="17"/>
        <v>5.9676620276538639E-3</v>
      </c>
      <c r="F276" s="12">
        <f t="shared" si="17"/>
        <v>3.9500852859322144E-3</v>
      </c>
      <c r="G276" s="12">
        <f t="shared" si="17"/>
        <v>3.2253540877857256E-2</v>
      </c>
    </row>
    <row r="277" spans="1:7" x14ac:dyDescent="0.3">
      <c r="A277" t="s">
        <v>311</v>
      </c>
      <c r="B277">
        <v>446.2</v>
      </c>
      <c r="C277">
        <v>223.83</v>
      </c>
      <c r="D277">
        <v>147.07</v>
      </c>
      <c r="E277" s="12">
        <f t="shared" si="17"/>
        <v>-1.1416802847484808E-3</v>
      </c>
      <c r="F277" s="12">
        <f t="shared" si="17"/>
        <v>7.6008226772783516E-4</v>
      </c>
      <c r="G277" s="12">
        <f t="shared" si="17"/>
        <v>-1.0188833038989875E-3</v>
      </c>
    </row>
    <row r="278" spans="1:7" x14ac:dyDescent="0.3">
      <c r="A278" t="s">
        <v>312</v>
      </c>
      <c r="B278">
        <v>428.5</v>
      </c>
      <c r="C278">
        <v>222.64</v>
      </c>
      <c r="D278">
        <v>140.83000000000001</v>
      </c>
      <c r="E278" s="12">
        <f t="shared" si="17"/>
        <v>-3.9668310174809429E-2</v>
      </c>
      <c r="F278" s="12">
        <f t="shared" si="17"/>
        <v>-5.3165348702141069E-3</v>
      </c>
      <c r="G278" s="12">
        <f t="shared" si="17"/>
        <v>-4.2428775413068442E-2</v>
      </c>
    </row>
    <row r="279" spans="1:7" x14ac:dyDescent="0.3">
      <c r="A279" t="s">
        <v>313</v>
      </c>
      <c r="B279">
        <v>429.03</v>
      </c>
      <c r="C279">
        <v>229.98</v>
      </c>
      <c r="D279">
        <v>137.71</v>
      </c>
      <c r="E279" s="12">
        <f t="shared" si="17"/>
        <v>1.2368728121352479E-3</v>
      </c>
      <c r="F279" s="12">
        <f t="shared" si="17"/>
        <v>3.2968020122170261E-2</v>
      </c>
      <c r="G279" s="12">
        <f t="shared" si="17"/>
        <v>-2.2154370517645461E-2</v>
      </c>
    </row>
    <row r="280" spans="1:7" x14ac:dyDescent="0.3">
      <c r="A280" t="s">
        <v>314</v>
      </c>
      <c r="B280">
        <v>424.58</v>
      </c>
      <c r="C280">
        <v>228.26</v>
      </c>
      <c r="D280">
        <v>133.57</v>
      </c>
      <c r="E280" s="12">
        <f t="shared" si="17"/>
        <v>-1.0372235041838596E-2</v>
      </c>
      <c r="F280" s="12">
        <f t="shared" si="17"/>
        <v>-7.4789112096703692E-3</v>
      </c>
      <c r="G280" s="12">
        <f t="shared" si="17"/>
        <v>-3.0063176239924605E-2</v>
      </c>
    </row>
    <row r="281" spans="1:7" x14ac:dyDescent="0.3">
      <c r="A281" t="s">
        <v>315</v>
      </c>
      <c r="B281">
        <v>426.31</v>
      </c>
      <c r="C281">
        <v>237.87</v>
      </c>
      <c r="D281">
        <v>136.24</v>
      </c>
      <c r="E281" s="12">
        <f t="shared" si="17"/>
        <v>4.0746149135617582E-3</v>
      </c>
      <c r="F281" s="12">
        <f t="shared" si="17"/>
        <v>4.2101112766143922E-2</v>
      </c>
      <c r="G281" s="12">
        <f t="shared" si="17"/>
        <v>1.9989518604477174E-2</v>
      </c>
    </row>
    <row r="282" spans="1:7" x14ac:dyDescent="0.3">
      <c r="A282" t="s">
        <v>316</v>
      </c>
      <c r="B282">
        <v>415.67</v>
      </c>
      <c r="C282">
        <v>233.28</v>
      </c>
      <c r="D282">
        <v>131.76</v>
      </c>
      <c r="E282" s="12">
        <f t="shared" si="17"/>
        <v>-2.495836363209869E-2</v>
      </c>
      <c r="F282" s="12">
        <f t="shared" si="17"/>
        <v>-1.9296254256526701E-2</v>
      </c>
      <c r="G282" s="12">
        <f t="shared" si="17"/>
        <v>-3.2883147386964295E-2</v>
      </c>
    </row>
    <row r="283" spans="1:7" x14ac:dyDescent="0.3">
      <c r="A283" t="s">
        <v>317</v>
      </c>
      <c r="B283">
        <v>417.19</v>
      </c>
      <c r="C283">
        <v>234.4</v>
      </c>
      <c r="D283">
        <v>133.22999999999999</v>
      </c>
      <c r="E283" s="12">
        <f t="shared" si="17"/>
        <v>3.6567469386772355E-3</v>
      </c>
      <c r="F283" s="12">
        <f t="shared" si="17"/>
        <v>4.8010973936900569E-3</v>
      </c>
      <c r="G283" s="12">
        <f t="shared" si="17"/>
        <v>1.1156648451730478E-2</v>
      </c>
    </row>
    <row r="284" spans="1:7" x14ac:dyDescent="0.3">
      <c r="A284" t="s">
        <v>318</v>
      </c>
      <c r="B284">
        <v>418.95</v>
      </c>
      <c r="C284">
        <v>236.85</v>
      </c>
      <c r="D284">
        <v>135.91</v>
      </c>
      <c r="E284" s="12">
        <f t="shared" si="17"/>
        <v>4.2187013111532057E-3</v>
      </c>
      <c r="F284" s="12">
        <f t="shared" si="17"/>
        <v>1.0452218430034188E-2</v>
      </c>
      <c r="G284" s="12">
        <f t="shared" si="17"/>
        <v>2.0115589581926052E-2</v>
      </c>
    </row>
    <row r="285" spans="1:7" x14ac:dyDescent="0.3">
      <c r="A285" t="s">
        <v>319</v>
      </c>
      <c r="B285">
        <v>424.56</v>
      </c>
      <c r="C285">
        <v>242.7</v>
      </c>
      <c r="D285">
        <v>140.11000000000001</v>
      </c>
      <c r="E285" s="12">
        <f t="shared" si="17"/>
        <v>1.3390619405657E-2</v>
      </c>
      <c r="F285" s="12">
        <f t="shared" si="17"/>
        <v>2.4699176694110259E-2</v>
      </c>
      <c r="G285" s="12">
        <f t="shared" si="17"/>
        <v>3.0902803325730366E-2</v>
      </c>
    </row>
    <row r="286" spans="1:7" x14ac:dyDescent="0.3">
      <c r="A286" t="s">
        <v>320</v>
      </c>
      <c r="B286">
        <v>422.37</v>
      </c>
      <c r="C286">
        <v>242.21</v>
      </c>
      <c r="D286">
        <v>140.13999999999999</v>
      </c>
      <c r="E286" s="12">
        <f t="shared" si="17"/>
        <v>-5.1582815149802119E-3</v>
      </c>
      <c r="F286" s="12">
        <f t="shared" si="17"/>
        <v>-2.0189534404614351E-3</v>
      </c>
      <c r="G286" s="12">
        <f t="shared" si="17"/>
        <v>2.1411747912325474E-4</v>
      </c>
    </row>
    <row r="287" spans="1:7" x14ac:dyDescent="0.3">
      <c r="A287" t="s">
        <v>321</v>
      </c>
      <c r="B287">
        <v>427.85</v>
      </c>
      <c r="C287">
        <v>245</v>
      </c>
      <c r="D287">
        <v>149.43</v>
      </c>
      <c r="E287" s="12">
        <f t="shared" si="17"/>
        <v>1.2974406326206944E-2</v>
      </c>
      <c r="F287" s="12">
        <f t="shared" si="17"/>
        <v>1.1518929854258619E-2</v>
      </c>
      <c r="G287" s="12">
        <f t="shared" si="17"/>
        <v>6.6290852005137957E-2</v>
      </c>
    </row>
    <row r="288" spans="1:7" x14ac:dyDescent="0.3">
      <c r="A288" t="s">
        <v>322</v>
      </c>
      <c r="B288">
        <v>423.35</v>
      </c>
      <c r="C288">
        <v>243.36</v>
      </c>
      <c r="D288">
        <v>144.47</v>
      </c>
      <c r="E288" s="12">
        <f t="shared" si="17"/>
        <v>-1.0517704803085226E-2</v>
      </c>
      <c r="F288" s="12">
        <f t="shared" si="17"/>
        <v>-6.6938775510203552E-3</v>
      </c>
      <c r="G288" s="12">
        <f t="shared" si="17"/>
        <v>-3.3192799304021969E-2</v>
      </c>
    </row>
    <row r="289" spans="1:7" x14ac:dyDescent="0.3">
      <c r="A289" t="s">
        <v>323</v>
      </c>
      <c r="B289">
        <v>418.58</v>
      </c>
      <c r="C289">
        <v>243.85</v>
      </c>
      <c r="D289">
        <v>138.31</v>
      </c>
      <c r="E289" s="12">
        <f t="shared" si="17"/>
        <v>-1.1267272942010242E-2</v>
      </c>
      <c r="F289" s="12">
        <f t="shared" si="17"/>
        <v>2.0134779750162757E-3</v>
      </c>
      <c r="G289" s="12">
        <f t="shared" si="17"/>
        <v>-4.2638610092060603E-2</v>
      </c>
    </row>
    <row r="290" spans="1:7" x14ac:dyDescent="0.3">
      <c r="A290" t="s">
        <v>324</v>
      </c>
      <c r="B290">
        <v>421.5</v>
      </c>
      <c r="C290">
        <v>250.42</v>
      </c>
      <c r="D290">
        <v>134.29</v>
      </c>
      <c r="E290" s="12">
        <f t="shared" si="17"/>
        <v>6.9759663624635593E-3</v>
      </c>
      <c r="F290" s="12">
        <f t="shared" si="17"/>
        <v>2.6942792700430651E-2</v>
      </c>
      <c r="G290" s="12">
        <f t="shared" si="17"/>
        <v>-2.90651435181839E-2</v>
      </c>
    </row>
    <row r="291" spans="1:7" x14ac:dyDescent="0.3">
      <c r="A291" t="s">
        <v>325</v>
      </c>
      <c r="B291">
        <v>424.83</v>
      </c>
      <c r="C291">
        <v>252.2</v>
      </c>
      <c r="D291">
        <v>137.49</v>
      </c>
      <c r="E291" s="12">
        <f t="shared" si="17"/>
        <v>7.9003558718859779E-3</v>
      </c>
      <c r="F291" s="12">
        <f t="shared" si="17"/>
        <v>7.1080584617841946E-3</v>
      </c>
      <c r="G291" s="12">
        <f t="shared" si="17"/>
        <v>2.382902673318954E-2</v>
      </c>
    </row>
    <row r="292" spans="1:7" x14ac:dyDescent="0.3">
      <c r="A292" t="s">
        <v>326</v>
      </c>
      <c r="B292">
        <v>430.53</v>
      </c>
      <c r="C292">
        <v>255.59</v>
      </c>
      <c r="D292">
        <v>137.01</v>
      </c>
      <c r="E292" s="12">
        <f t="shared" si="17"/>
        <v>1.3417131558505657E-2</v>
      </c>
      <c r="F292" s="12">
        <f t="shared" si="17"/>
        <v>1.3441712926248961E-2</v>
      </c>
      <c r="G292" s="12">
        <f t="shared" si="17"/>
        <v>-3.4911629936723587E-3</v>
      </c>
    </row>
    <row r="293" spans="1:7" x14ac:dyDescent="0.3">
      <c r="A293" t="s">
        <v>327</v>
      </c>
      <c r="B293">
        <v>438.11</v>
      </c>
      <c r="C293">
        <v>259.02</v>
      </c>
      <c r="D293">
        <v>139.93</v>
      </c>
      <c r="E293" s="12">
        <f t="shared" si="17"/>
        <v>1.7606206303858229E-2</v>
      </c>
      <c r="F293" s="12">
        <f t="shared" si="17"/>
        <v>1.3419930357212673E-2</v>
      </c>
      <c r="G293" s="12">
        <f t="shared" si="17"/>
        <v>2.1312312969856251E-2</v>
      </c>
    </row>
    <row r="294" spans="1:7" x14ac:dyDescent="0.3">
      <c r="A294" t="s">
        <v>328</v>
      </c>
      <c r="B294">
        <v>439.33</v>
      </c>
      <c r="C294">
        <v>258.2</v>
      </c>
      <c r="D294">
        <v>140.22</v>
      </c>
      <c r="E294" s="12">
        <f t="shared" si="17"/>
        <v>2.7846887767910555E-3</v>
      </c>
      <c r="F294" s="12">
        <f t="shared" si="17"/>
        <v>-3.1657787043470886E-3</v>
      </c>
      <c r="G294" s="12">
        <f t="shared" si="17"/>
        <v>2.0724648038303872E-3</v>
      </c>
    </row>
    <row r="295" spans="1:7" x14ac:dyDescent="0.3">
      <c r="A295" t="s">
        <v>329</v>
      </c>
      <c r="B295">
        <v>435.25</v>
      </c>
      <c r="C295">
        <v>255.27</v>
      </c>
      <c r="D295">
        <v>139.66999999999999</v>
      </c>
      <c r="E295" s="12">
        <f t="shared" si="17"/>
        <v>-9.2868686408849044E-3</v>
      </c>
      <c r="F295" s="12">
        <f t="shared" si="17"/>
        <v>-1.1347792408985202E-2</v>
      </c>
      <c r="G295" s="12">
        <f t="shared" si="17"/>
        <v>-3.9224076451291889E-3</v>
      </c>
    </row>
    <row r="296" spans="1:7" x14ac:dyDescent="0.3">
      <c r="A296" t="s">
        <v>330</v>
      </c>
      <c r="B296">
        <v>436.6</v>
      </c>
      <c r="C296">
        <v>254.49</v>
      </c>
      <c r="D296">
        <v>134.69999999999999</v>
      </c>
      <c r="E296" s="12">
        <f t="shared" si="17"/>
        <v>3.1016657093625444E-3</v>
      </c>
      <c r="F296" s="12">
        <f t="shared" si="17"/>
        <v>-3.0555882007285984E-3</v>
      </c>
      <c r="G296" s="12">
        <f t="shared" si="17"/>
        <v>-3.5583876279802418E-2</v>
      </c>
    </row>
    <row r="297" spans="1:7" x14ac:dyDescent="0.3">
      <c r="A297" t="s">
        <v>331</v>
      </c>
      <c r="B297">
        <v>437.03</v>
      </c>
      <c r="C297">
        <v>249.79</v>
      </c>
      <c r="D297">
        <v>130.68</v>
      </c>
      <c r="E297" s="12">
        <f t="shared" si="17"/>
        <v>9.8488318827283372E-4</v>
      </c>
      <c r="F297" s="12">
        <f t="shared" si="17"/>
        <v>-1.8468309167354424E-2</v>
      </c>
      <c r="G297" s="12">
        <f t="shared" si="17"/>
        <v>-2.9844097995545549E-2</v>
      </c>
    </row>
    <row r="298" spans="1:7" x14ac:dyDescent="0.3">
      <c r="A298" t="s">
        <v>332</v>
      </c>
      <c r="B298">
        <v>437.39</v>
      </c>
      <c r="C298">
        <v>248.05</v>
      </c>
      <c r="D298">
        <v>128.91</v>
      </c>
      <c r="E298" s="12">
        <f t="shared" si="17"/>
        <v>8.2374207720303794E-4</v>
      </c>
      <c r="F298" s="12">
        <f t="shared" si="17"/>
        <v>-6.965851315104632E-3</v>
      </c>
      <c r="G298" s="12">
        <f t="shared" si="17"/>
        <v>-1.3544536271809071E-2</v>
      </c>
    </row>
    <row r="299" spans="1:7" x14ac:dyDescent="0.3">
      <c r="A299" t="s">
        <v>333</v>
      </c>
      <c r="B299">
        <v>454.46</v>
      </c>
      <c r="C299">
        <v>253.48</v>
      </c>
      <c r="D299">
        <v>130.38999999999999</v>
      </c>
      <c r="E299" s="12">
        <f t="shared" si="17"/>
        <v>3.9026955348773429E-2</v>
      </c>
      <c r="F299" s="12">
        <f t="shared" si="17"/>
        <v>2.1890747833098079E-2</v>
      </c>
      <c r="G299" s="12">
        <f t="shared" si="17"/>
        <v>1.1480878132029915E-2</v>
      </c>
    </row>
    <row r="300" spans="1:7" x14ac:dyDescent="0.3">
      <c r="A300" t="s">
        <v>334</v>
      </c>
      <c r="B300">
        <v>451.59</v>
      </c>
      <c r="C300">
        <v>251.04</v>
      </c>
      <c r="D300">
        <v>132</v>
      </c>
      <c r="E300" s="12">
        <f t="shared" si="17"/>
        <v>-6.315187255203969E-3</v>
      </c>
      <c r="F300" s="12">
        <f t="shared" si="17"/>
        <v>-9.6260059965282974E-3</v>
      </c>
      <c r="G300" s="12">
        <f t="shared" si="17"/>
        <v>1.2347572666615569E-2</v>
      </c>
    </row>
    <row r="301" spans="1:7" x14ac:dyDescent="0.3">
      <c r="A301" t="s">
        <v>335</v>
      </c>
      <c r="B301">
        <v>447.27</v>
      </c>
      <c r="C301">
        <v>248.13</v>
      </c>
      <c r="D301">
        <v>134.25</v>
      </c>
      <c r="E301" s="12">
        <f t="shared" si="17"/>
        <v>-9.5661994286853069E-3</v>
      </c>
      <c r="F301" s="12">
        <f t="shared" si="17"/>
        <v>-1.1591778202676872E-2</v>
      </c>
      <c r="G301" s="12">
        <f t="shared" si="17"/>
        <v>1.7045454545454586E-2</v>
      </c>
    </row>
    <row r="302" spans="1:7" x14ac:dyDescent="0.3">
      <c r="A302" t="s">
        <v>336</v>
      </c>
      <c r="B302">
        <v>449.56</v>
      </c>
      <c r="C302">
        <v>247.96</v>
      </c>
      <c r="D302">
        <v>137.34</v>
      </c>
      <c r="E302" s="12">
        <f t="shared" si="17"/>
        <v>5.119949918393818E-3</v>
      </c>
      <c r="F302" s="12">
        <f t="shared" si="17"/>
        <v>-6.8512473300286203E-4</v>
      </c>
      <c r="G302" s="12">
        <f t="shared" si="17"/>
        <v>2.3016759776536277E-2</v>
      </c>
    </row>
    <row r="303" spans="1:7" x14ac:dyDescent="0.3">
      <c r="A303" t="s">
        <v>337</v>
      </c>
      <c r="B303">
        <v>448.99</v>
      </c>
      <c r="C303">
        <v>246.49</v>
      </c>
      <c r="D303">
        <v>139.31</v>
      </c>
      <c r="E303" s="12">
        <f t="shared" si="17"/>
        <v>-1.2679063973662918E-3</v>
      </c>
      <c r="F303" s="12">
        <f t="shared" si="17"/>
        <v>-5.9283755444426989E-3</v>
      </c>
      <c r="G303" s="12">
        <f t="shared" si="17"/>
        <v>1.4343963885248279E-2</v>
      </c>
    </row>
    <row r="304" spans="1:7" x14ac:dyDescent="0.3">
      <c r="A304" t="s">
        <v>338</v>
      </c>
      <c r="B304">
        <v>443.33</v>
      </c>
      <c r="C304">
        <v>247.77</v>
      </c>
      <c r="D304">
        <v>135.07</v>
      </c>
      <c r="E304" s="12">
        <f t="shared" si="17"/>
        <v>-1.2606071404708374E-2</v>
      </c>
      <c r="F304" s="12">
        <f t="shared" si="17"/>
        <v>5.1929084344193299E-3</v>
      </c>
      <c r="G304" s="12">
        <f t="shared" si="17"/>
        <v>-3.0435718900294395E-2</v>
      </c>
    </row>
    <row r="305" spans="1:7" x14ac:dyDescent="0.3">
      <c r="A305" t="s">
        <v>339</v>
      </c>
      <c r="B305">
        <v>446.02</v>
      </c>
      <c r="C305">
        <v>246.75</v>
      </c>
      <c r="D305">
        <v>138.81</v>
      </c>
      <c r="E305" s="12">
        <f t="shared" si="17"/>
        <v>6.0677147948480226E-3</v>
      </c>
      <c r="F305" s="12">
        <f t="shared" si="17"/>
        <v>-4.1167211526819125E-3</v>
      </c>
      <c r="G305" s="12">
        <f t="shared" si="17"/>
        <v>2.7689346264899717E-2</v>
      </c>
    </row>
    <row r="306" spans="1:7" x14ac:dyDescent="0.3">
      <c r="A306" t="s">
        <v>340</v>
      </c>
      <c r="B306">
        <v>443.57</v>
      </c>
      <c r="C306">
        <v>242.84</v>
      </c>
      <c r="D306">
        <v>142.44</v>
      </c>
      <c r="E306" s="12">
        <f t="shared" si="17"/>
        <v>-5.4930272185103046E-3</v>
      </c>
      <c r="F306" s="12">
        <f t="shared" si="17"/>
        <v>-1.5845997973657489E-2</v>
      </c>
      <c r="G306" s="12">
        <f t="shared" si="17"/>
        <v>2.6150853684892894E-2</v>
      </c>
    </row>
    <row r="307" spans="1:7" x14ac:dyDescent="0.3">
      <c r="A307" t="s">
        <v>341</v>
      </c>
      <c r="B307">
        <v>442.62</v>
      </c>
      <c r="C307">
        <v>243.04</v>
      </c>
      <c r="D307">
        <v>145.06</v>
      </c>
      <c r="E307" s="12">
        <f t="shared" si="17"/>
        <v>-2.141713821944613E-3</v>
      </c>
      <c r="F307" s="12">
        <f t="shared" si="17"/>
        <v>8.2358754735634143E-4</v>
      </c>
      <c r="G307" s="12">
        <f t="shared" si="17"/>
        <v>1.8393709632125832E-2</v>
      </c>
    </row>
    <row r="308" spans="1:7" x14ac:dyDescent="0.3">
      <c r="A308" t="s">
        <v>342</v>
      </c>
      <c r="B308">
        <v>437.42</v>
      </c>
      <c r="C308">
        <v>243.01</v>
      </c>
      <c r="D308">
        <v>145.13999999999999</v>
      </c>
      <c r="E308" s="12">
        <f t="shared" si="17"/>
        <v>-1.1748226469657896E-2</v>
      </c>
      <c r="F308" s="12">
        <f t="shared" si="17"/>
        <v>-1.2343647136270341E-4</v>
      </c>
      <c r="G308" s="12">
        <f t="shared" si="17"/>
        <v>5.5149593271730524E-4</v>
      </c>
    </row>
    <row r="309" spans="1:7" x14ac:dyDescent="0.3">
      <c r="A309" t="s">
        <v>343</v>
      </c>
      <c r="B309">
        <v>431.2</v>
      </c>
      <c r="C309">
        <v>242.65</v>
      </c>
      <c r="D309">
        <v>140.26</v>
      </c>
      <c r="E309" s="12">
        <f t="shared" si="17"/>
        <v>-1.4219743038727195E-2</v>
      </c>
      <c r="F309" s="12">
        <f t="shared" si="17"/>
        <v>-1.4814205176740813E-3</v>
      </c>
      <c r="G309" s="12">
        <f t="shared" si="17"/>
        <v>-3.3622709108447002E-2</v>
      </c>
    </row>
    <row r="310" spans="1:7" x14ac:dyDescent="0.3">
      <c r="A310" t="s">
        <v>344</v>
      </c>
      <c r="B310">
        <v>430.98</v>
      </c>
      <c r="C310">
        <v>239.59</v>
      </c>
      <c r="D310">
        <v>138.63</v>
      </c>
      <c r="E310" s="12">
        <f t="shared" si="17"/>
        <v>-5.1020408163260367E-4</v>
      </c>
      <c r="F310" s="12">
        <f t="shared" si="17"/>
        <v>-1.2610756233257803E-2</v>
      </c>
      <c r="G310" s="12">
        <f t="shared" si="17"/>
        <v>-1.1621274775417079E-2</v>
      </c>
    </row>
    <row r="311" spans="1:7" x14ac:dyDescent="0.3">
      <c r="A311" t="s">
        <v>345</v>
      </c>
      <c r="B311">
        <v>423.46</v>
      </c>
      <c r="C311">
        <v>237.33</v>
      </c>
      <c r="D311">
        <v>138.25</v>
      </c>
      <c r="E311" s="12">
        <f t="shared" si="17"/>
        <v>-1.7448605503735726E-2</v>
      </c>
      <c r="F311" s="12">
        <f t="shared" si="17"/>
        <v>-9.4327810008764112E-3</v>
      </c>
      <c r="G311" s="12">
        <f t="shared" si="17"/>
        <v>-2.7411094279736758E-3</v>
      </c>
    </row>
    <row r="312" spans="1:7" x14ac:dyDescent="0.3">
      <c r="A312" t="s">
        <v>346</v>
      </c>
      <c r="B312">
        <v>422.99</v>
      </c>
      <c r="C312">
        <v>234.93</v>
      </c>
      <c r="D312">
        <v>135.34</v>
      </c>
      <c r="E312" s="12">
        <f t="shared" si="17"/>
        <v>-1.1099041231756868E-3</v>
      </c>
      <c r="F312" s="12">
        <f t="shared" si="17"/>
        <v>-1.011250158007837E-2</v>
      </c>
      <c r="G312" s="12">
        <f t="shared" si="17"/>
        <v>-2.1048824593128401E-2</v>
      </c>
    </row>
    <row r="313" spans="1:7" x14ac:dyDescent="0.3">
      <c r="A313" t="s">
        <v>347</v>
      </c>
      <c r="B313">
        <v>427.99</v>
      </c>
      <c r="C313">
        <v>235.06</v>
      </c>
      <c r="D313">
        <v>136.91999999999999</v>
      </c>
      <c r="E313" s="12">
        <f t="shared" si="17"/>
        <v>1.1820610416321875E-2</v>
      </c>
      <c r="F313" s="12">
        <f t="shared" si="17"/>
        <v>5.5335631890351955E-4</v>
      </c>
      <c r="G313" s="12">
        <f t="shared" si="17"/>
        <v>1.16743017585339E-2</v>
      </c>
    </row>
    <row r="314" spans="1:7" x14ac:dyDescent="0.3">
      <c r="A314" t="s">
        <v>348</v>
      </c>
      <c r="B314">
        <v>418.79</v>
      </c>
      <c r="C314">
        <v>232.87</v>
      </c>
      <c r="D314">
        <v>136.02000000000001</v>
      </c>
      <c r="E314" s="12">
        <f t="shared" si="17"/>
        <v>-2.1495829341807049E-2</v>
      </c>
      <c r="F314" s="12">
        <f t="shared" si="17"/>
        <v>-9.3167701863353658E-3</v>
      </c>
      <c r="G314" s="12">
        <f t="shared" si="17"/>
        <v>-6.573181419807006E-3</v>
      </c>
    </row>
    <row r="315" spans="1:7" x14ac:dyDescent="0.3">
      <c r="A315" t="s">
        <v>349</v>
      </c>
      <c r="B315">
        <v>417</v>
      </c>
      <c r="C315">
        <v>229.87</v>
      </c>
      <c r="D315">
        <v>141.94999999999999</v>
      </c>
      <c r="E315" s="12">
        <f t="shared" si="17"/>
        <v>-4.2742185821056378E-3</v>
      </c>
      <c r="F315" s="12">
        <f t="shared" si="17"/>
        <v>-1.2882724266758294E-2</v>
      </c>
      <c r="G315" s="12">
        <f t="shared" si="17"/>
        <v>4.3596529922070193E-2</v>
      </c>
    </row>
    <row r="316" spans="1:7" x14ac:dyDescent="0.3">
      <c r="A316" t="s">
        <v>350</v>
      </c>
      <c r="B316">
        <v>412.87</v>
      </c>
      <c r="C316">
        <v>228.52</v>
      </c>
      <c r="D316">
        <v>146.66999999999999</v>
      </c>
      <c r="E316" s="12">
        <f t="shared" si="17"/>
        <v>-9.9040767386090467E-3</v>
      </c>
      <c r="F316" s="12">
        <f t="shared" si="17"/>
        <v>-5.8728846739460883E-3</v>
      </c>
      <c r="G316" s="12">
        <f t="shared" si="17"/>
        <v>3.3251144769284924E-2</v>
      </c>
    </row>
    <row r="317" spans="1:7" x14ac:dyDescent="0.3">
      <c r="A317" t="s">
        <v>351</v>
      </c>
      <c r="B317">
        <v>415.49</v>
      </c>
      <c r="C317">
        <v>229</v>
      </c>
      <c r="D317">
        <v>145.88999999999999</v>
      </c>
      <c r="E317" s="12">
        <f t="shared" si="17"/>
        <v>6.3458231404558418E-3</v>
      </c>
      <c r="F317" s="12">
        <f t="shared" si="17"/>
        <v>2.1004726063362789E-3</v>
      </c>
      <c r="G317" s="12">
        <f t="shared" si="17"/>
        <v>-5.3180609531601197E-3</v>
      </c>
    </row>
    <row r="318" spans="1:7" x14ac:dyDescent="0.3">
      <c r="A318" t="s">
        <v>352</v>
      </c>
      <c r="B318">
        <v>417.79</v>
      </c>
      <c r="C318">
        <v>228.28</v>
      </c>
      <c r="D318">
        <v>147.01</v>
      </c>
      <c r="E318" s="12">
        <f t="shared" si="17"/>
        <v>5.5356326265374456E-3</v>
      </c>
      <c r="F318" s="12">
        <f t="shared" si="17"/>
        <v>-3.1441048034934749E-3</v>
      </c>
      <c r="G318" s="12">
        <f t="shared" si="17"/>
        <v>7.6770169305642177E-3</v>
      </c>
    </row>
    <row r="319" spans="1:7" x14ac:dyDescent="0.3">
      <c r="A319" t="s">
        <v>353</v>
      </c>
      <c r="B319">
        <v>415.76</v>
      </c>
      <c r="C319">
        <v>228.02</v>
      </c>
      <c r="D319">
        <v>140.15</v>
      </c>
      <c r="E319" s="12">
        <f t="shared" si="17"/>
        <v>-4.8589004045095363E-3</v>
      </c>
      <c r="F319" s="12">
        <f t="shared" si="17"/>
        <v>-1.138952164009055E-3</v>
      </c>
      <c r="G319" s="12">
        <f t="shared" si="17"/>
        <v>-4.6663492279436669E-2</v>
      </c>
    </row>
    <row r="320" spans="1:7" x14ac:dyDescent="0.3">
      <c r="A320" t="s">
        <v>354</v>
      </c>
      <c r="B320">
        <v>415</v>
      </c>
      <c r="C320">
        <v>225</v>
      </c>
      <c r="D320">
        <v>141.97999999999999</v>
      </c>
      <c r="E320" s="12">
        <f t="shared" si="17"/>
        <v>-1.827977679430437E-3</v>
      </c>
      <c r="F320" s="12">
        <f t="shared" si="17"/>
        <v>-1.3244452241031546E-2</v>
      </c>
      <c r="G320" s="12">
        <f t="shared" si="17"/>
        <v>1.3057438458794035E-2</v>
      </c>
    </row>
    <row r="321" spans="1:7" x14ac:dyDescent="0.3">
      <c r="A321" t="s">
        <v>355</v>
      </c>
      <c r="B321">
        <v>426.89</v>
      </c>
      <c r="C321">
        <v>228.22</v>
      </c>
      <c r="D321">
        <v>146.76</v>
      </c>
      <c r="E321" s="12">
        <f t="shared" si="17"/>
        <v>2.8650602409638459E-2</v>
      </c>
      <c r="F321" s="12">
        <f t="shared" si="17"/>
        <v>1.4311111111111163E-2</v>
      </c>
      <c r="G321" s="12">
        <f t="shared" si="17"/>
        <v>3.3666713621636868E-2</v>
      </c>
    </row>
    <row r="322" spans="1:7" x14ac:dyDescent="0.3">
      <c r="A322" t="s">
        <v>356</v>
      </c>
      <c r="B322">
        <v>425.2</v>
      </c>
      <c r="C322">
        <v>225.12</v>
      </c>
      <c r="D322">
        <v>146.27000000000001</v>
      </c>
      <c r="E322" s="12">
        <f t="shared" si="17"/>
        <v>-3.9588652814542824E-3</v>
      </c>
      <c r="F322" s="12">
        <f t="shared" si="17"/>
        <v>-1.3583384453597414E-2</v>
      </c>
      <c r="G322" s="12">
        <f t="shared" si="17"/>
        <v>-3.3387844099208586E-3</v>
      </c>
    </row>
    <row r="323" spans="1:7" x14ac:dyDescent="0.3">
      <c r="A323" t="s">
        <v>357</v>
      </c>
      <c r="B323">
        <v>423.03</v>
      </c>
      <c r="C323">
        <v>224.23</v>
      </c>
      <c r="D323">
        <v>148.29</v>
      </c>
      <c r="E323" s="12">
        <f t="shared" si="17"/>
        <v>-5.1034807149576977E-3</v>
      </c>
      <c r="F323" s="12">
        <f t="shared" si="17"/>
        <v>-3.9534470504620778E-3</v>
      </c>
      <c r="G323" s="12">
        <f t="shared" si="17"/>
        <v>1.3810077254392539E-2</v>
      </c>
    </row>
    <row r="324" spans="1:7" x14ac:dyDescent="0.3">
      <c r="A324" t="s">
        <v>358</v>
      </c>
      <c r="B324">
        <v>418.01</v>
      </c>
      <c r="C324">
        <v>224.23</v>
      </c>
      <c r="D324">
        <v>145.26</v>
      </c>
      <c r="E324" s="12">
        <f t="shared" ref="E324:G387" si="18">B324/B323-1</f>
        <v>-1.186677067820241E-2</v>
      </c>
      <c r="F324" s="12">
        <f t="shared" si="18"/>
        <v>0</v>
      </c>
      <c r="G324" s="12">
        <f t="shared" si="18"/>
        <v>-2.0432935464292923E-2</v>
      </c>
    </row>
    <row r="325" spans="1:7" x14ac:dyDescent="0.3">
      <c r="A325" t="s">
        <v>359</v>
      </c>
      <c r="B325">
        <v>422.54</v>
      </c>
      <c r="C325">
        <v>226.96</v>
      </c>
      <c r="D325">
        <v>147.63</v>
      </c>
      <c r="E325" s="12">
        <f t="shared" si="18"/>
        <v>1.0837061314322716E-2</v>
      </c>
      <c r="F325" s="12">
        <f t="shared" si="18"/>
        <v>1.2174998885073451E-2</v>
      </c>
      <c r="G325" s="12">
        <f t="shared" si="18"/>
        <v>1.6315572077653995E-2</v>
      </c>
    </row>
    <row r="326" spans="1:7" x14ac:dyDescent="0.3">
      <c r="A326" t="s">
        <v>360</v>
      </c>
      <c r="B326">
        <v>425.43</v>
      </c>
      <c r="C326">
        <v>227.48</v>
      </c>
      <c r="D326">
        <v>148.88</v>
      </c>
      <c r="E326" s="12">
        <f t="shared" si="18"/>
        <v>6.8395891513228779E-3</v>
      </c>
      <c r="F326" s="12">
        <f t="shared" si="18"/>
        <v>2.2911526260132042E-3</v>
      </c>
      <c r="G326" s="12">
        <f t="shared" si="18"/>
        <v>8.467113730271647E-3</v>
      </c>
    </row>
    <row r="327" spans="1:7" x14ac:dyDescent="0.3">
      <c r="A327" t="s">
        <v>361</v>
      </c>
      <c r="B327">
        <v>420.18</v>
      </c>
      <c r="C327">
        <v>222.72</v>
      </c>
      <c r="D327">
        <v>145.61000000000001</v>
      </c>
      <c r="E327" s="12">
        <f t="shared" si="18"/>
        <v>-1.2340455539101569E-2</v>
      </c>
      <c r="F327" s="12">
        <f t="shared" si="18"/>
        <v>-2.0924916476173672E-2</v>
      </c>
      <c r="G327" s="12">
        <f t="shared" si="18"/>
        <v>-2.1963997850617867E-2</v>
      </c>
    </row>
    <row r="328" spans="1:7" x14ac:dyDescent="0.3">
      <c r="A328" t="s">
        <v>362</v>
      </c>
      <c r="B328">
        <v>411.46</v>
      </c>
      <c r="C328">
        <v>223.45</v>
      </c>
      <c r="D328">
        <v>139.91</v>
      </c>
      <c r="E328" s="12">
        <f t="shared" si="18"/>
        <v>-2.0753010614498635E-2</v>
      </c>
      <c r="F328" s="12">
        <f t="shared" si="18"/>
        <v>3.2776580459770166E-3</v>
      </c>
      <c r="G328" s="12">
        <f t="shared" si="18"/>
        <v>-3.9145663072591264E-2</v>
      </c>
    </row>
    <row r="329" spans="1:7" x14ac:dyDescent="0.3">
      <c r="A329" t="s">
        <v>363</v>
      </c>
      <c r="B329">
        <v>408.46</v>
      </c>
      <c r="C329">
        <v>222.01</v>
      </c>
      <c r="D329">
        <v>136.05000000000001</v>
      </c>
      <c r="E329" s="12">
        <f t="shared" si="18"/>
        <v>-7.2911097068973918E-3</v>
      </c>
      <c r="F329" s="12">
        <f t="shared" si="18"/>
        <v>-6.4443947191765716E-3</v>
      </c>
      <c r="G329" s="12">
        <f t="shared" si="18"/>
        <v>-2.7589164462868854E-2</v>
      </c>
    </row>
    <row r="330" spans="1:7" x14ac:dyDescent="0.3">
      <c r="A330" t="s">
        <v>364</v>
      </c>
      <c r="B330">
        <v>410.37</v>
      </c>
      <c r="C330">
        <v>222.91</v>
      </c>
      <c r="D330">
        <v>135.4</v>
      </c>
      <c r="E330" s="12">
        <f t="shared" si="18"/>
        <v>4.676100474954703E-3</v>
      </c>
      <c r="F330" s="12">
        <f t="shared" si="18"/>
        <v>4.0538714472322379E-3</v>
      </c>
      <c r="G330" s="12">
        <f t="shared" si="18"/>
        <v>-4.7776552737964773E-3</v>
      </c>
    </row>
    <row r="331" spans="1:7" x14ac:dyDescent="0.3">
      <c r="A331" t="s">
        <v>365</v>
      </c>
      <c r="B331">
        <v>406.35</v>
      </c>
      <c r="C331">
        <v>225.91</v>
      </c>
      <c r="D331">
        <v>132.76</v>
      </c>
      <c r="E331" s="12">
        <f t="shared" si="18"/>
        <v>-9.7960377220556172E-3</v>
      </c>
      <c r="F331" s="12">
        <f t="shared" si="18"/>
        <v>1.3458346417836831E-2</v>
      </c>
      <c r="G331" s="12">
        <f t="shared" si="18"/>
        <v>-1.9497784342688451E-2</v>
      </c>
    </row>
    <row r="332" spans="1:7" x14ac:dyDescent="0.3">
      <c r="A332" t="s">
        <v>366</v>
      </c>
      <c r="B332">
        <v>432.53</v>
      </c>
      <c r="C332">
        <v>230.1</v>
      </c>
      <c r="D332">
        <v>139.34</v>
      </c>
      <c r="E332" s="12">
        <f t="shared" si="18"/>
        <v>6.4427217915589807E-2</v>
      </c>
      <c r="F332" s="12">
        <f t="shared" si="18"/>
        <v>1.854720906555718E-2</v>
      </c>
      <c r="G332" s="12">
        <f t="shared" si="18"/>
        <v>4.9563121422115275E-2</v>
      </c>
    </row>
    <row r="333" spans="1:7" x14ac:dyDescent="0.3">
      <c r="A333" t="s">
        <v>367</v>
      </c>
      <c r="B333">
        <v>431.95</v>
      </c>
      <c r="C333">
        <v>233.67</v>
      </c>
      <c r="D333">
        <v>141.25</v>
      </c>
      <c r="E333" s="12">
        <f t="shared" si="18"/>
        <v>-1.3409474487318107E-3</v>
      </c>
      <c r="F333" s="12">
        <f t="shared" si="18"/>
        <v>1.5514993481095196E-2</v>
      </c>
      <c r="G333" s="12">
        <f t="shared" si="18"/>
        <v>1.3707478111095073E-2</v>
      </c>
    </row>
    <row r="334" spans="1:7" x14ac:dyDescent="0.3">
      <c r="A334" t="s">
        <v>368</v>
      </c>
      <c r="B334">
        <v>426.59</v>
      </c>
      <c r="C334">
        <v>233.4</v>
      </c>
      <c r="D334">
        <v>140.52000000000001</v>
      </c>
      <c r="E334" s="12">
        <f t="shared" si="18"/>
        <v>-1.2408843616159348E-2</v>
      </c>
      <c r="F334" s="12">
        <f t="shared" si="18"/>
        <v>-1.1554756708177516E-3</v>
      </c>
      <c r="G334" s="12">
        <f t="shared" si="18"/>
        <v>-5.1681415929202279E-3</v>
      </c>
    </row>
    <row r="335" spans="1:7" x14ac:dyDescent="0.3">
      <c r="A335" t="s">
        <v>369</v>
      </c>
      <c r="B335">
        <v>428.15</v>
      </c>
      <c r="C335">
        <v>231.41</v>
      </c>
      <c r="D335">
        <v>141.54</v>
      </c>
      <c r="E335" s="12">
        <f t="shared" si="18"/>
        <v>3.6569071004945997E-3</v>
      </c>
      <c r="F335" s="12">
        <f t="shared" si="18"/>
        <v>-8.5261353898886671E-3</v>
      </c>
      <c r="G335" s="12">
        <f t="shared" si="18"/>
        <v>7.2587532023908885E-3</v>
      </c>
    </row>
    <row r="336" spans="1:7" x14ac:dyDescent="0.3">
      <c r="A336" t="s">
        <v>370</v>
      </c>
      <c r="B336">
        <v>424.73</v>
      </c>
      <c r="C336">
        <v>230.57</v>
      </c>
      <c r="D336">
        <v>140.41</v>
      </c>
      <c r="E336" s="12">
        <f t="shared" si="18"/>
        <v>-7.9878547238116937E-3</v>
      </c>
      <c r="F336" s="12">
        <f t="shared" si="18"/>
        <v>-3.6299209195800319E-3</v>
      </c>
      <c r="G336" s="12">
        <f t="shared" si="18"/>
        <v>-7.98360887381655E-3</v>
      </c>
    </row>
    <row r="337" spans="1:7" x14ac:dyDescent="0.3">
      <c r="A337" t="s">
        <v>371</v>
      </c>
      <c r="B337">
        <v>424.6</v>
      </c>
      <c r="C337">
        <v>230.76</v>
      </c>
      <c r="D337">
        <v>139.56</v>
      </c>
      <c r="E337" s="12">
        <f t="shared" si="18"/>
        <v>-3.0607680173289076E-4</v>
      </c>
      <c r="F337" s="12">
        <f t="shared" si="18"/>
        <v>8.2404475864161775E-4</v>
      </c>
      <c r="G337" s="12">
        <f t="shared" si="18"/>
        <v>-6.053699878926011E-3</v>
      </c>
    </row>
    <row r="338" spans="1:7" x14ac:dyDescent="0.3">
      <c r="A338" t="s">
        <v>372</v>
      </c>
      <c r="B338">
        <v>427.51</v>
      </c>
      <c r="C338">
        <v>235.86</v>
      </c>
      <c r="D338">
        <v>143.59</v>
      </c>
      <c r="E338" s="12">
        <f t="shared" si="18"/>
        <v>6.8535091851154029E-3</v>
      </c>
      <c r="F338" s="12">
        <f t="shared" si="18"/>
        <v>2.210088403536159E-2</v>
      </c>
      <c r="G338" s="12">
        <f t="shared" si="18"/>
        <v>2.8876468902264252E-2</v>
      </c>
    </row>
    <row r="339" spans="1:7" x14ac:dyDescent="0.3">
      <c r="A339" t="s">
        <v>373</v>
      </c>
      <c r="B339">
        <v>418.78</v>
      </c>
      <c r="C339">
        <v>236.48</v>
      </c>
      <c r="D339">
        <v>143.71</v>
      </c>
      <c r="E339" s="12">
        <f t="shared" si="18"/>
        <v>-2.0420574957310977E-2</v>
      </c>
      <c r="F339" s="12">
        <f t="shared" si="18"/>
        <v>2.6286780293394152E-3</v>
      </c>
      <c r="G339" s="12">
        <f t="shared" si="18"/>
        <v>8.357127933700248E-4</v>
      </c>
    </row>
    <row r="340" spans="1:7" x14ac:dyDescent="0.3">
      <c r="A340" t="s">
        <v>374</v>
      </c>
      <c r="B340">
        <v>418.16</v>
      </c>
      <c r="C340">
        <v>235</v>
      </c>
      <c r="D340">
        <v>138</v>
      </c>
      <c r="E340" s="12">
        <f t="shared" si="18"/>
        <v>-1.4804909499019914E-3</v>
      </c>
      <c r="F340" s="12">
        <f t="shared" si="18"/>
        <v>-6.2584573748307726E-3</v>
      </c>
      <c r="G340" s="12">
        <f t="shared" si="18"/>
        <v>-3.9732795212580996E-2</v>
      </c>
    </row>
    <row r="341" spans="1:7" x14ac:dyDescent="0.3">
      <c r="A341" t="s">
        <v>375</v>
      </c>
      <c r="B341">
        <v>416.72</v>
      </c>
      <c r="C341">
        <v>232.15</v>
      </c>
      <c r="D341">
        <v>136.93</v>
      </c>
      <c r="E341" s="12">
        <f t="shared" si="18"/>
        <v>-3.4436579299789161E-3</v>
      </c>
      <c r="F341" s="12">
        <f t="shared" si="18"/>
        <v>-1.2127659574468042E-2</v>
      </c>
      <c r="G341" s="12">
        <f t="shared" si="18"/>
        <v>-7.7536231884057782E-3</v>
      </c>
    </row>
    <row r="342" spans="1:7" x14ac:dyDescent="0.3">
      <c r="A342" t="s">
        <v>376</v>
      </c>
      <c r="B342">
        <v>416.12</v>
      </c>
      <c r="C342">
        <v>231.78</v>
      </c>
      <c r="D342">
        <v>135.72</v>
      </c>
      <c r="E342" s="12">
        <f t="shared" si="18"/>
        <v>-1.439815703589975E-3</v>
      </c>
      <c r="F342" s="12">
        <f t="shared" si="18"/>
        <v>-1.593797113934925E-3</v>
      </c>
      <c r="G342" s="12">
        <f t="shared" si="18"/>
        <v>-8.8366318556927226E-3</v>
      </c>
    </row>
    <row r="343" spans="1:7" x14ac:dyDescent="0.3">
      <c r="A343" t="s">
        <v>377</v>
      </c>
      <c r="B343">
        <v>418.74</v>
      </c>
      <c r="C343">
        <v>233.85</v>
      </c>
      <c r="D343">
        <v>131.6</v>
      </c>
      <c r="E343" s="12">
        <f t="shared" si="18"/>
        <v>6.2962606940306642E-3</v>
      </c>
      <c r="F343" s="12">
        <f t="shared" si="18"/>
        <v>8.9308827336267438E-3</v>
      </c>
      <c r="G343" s="12">
        <f t="shared" si="18"/>
        <v>-3.0356616563513183E-2</v>
      </c>
    </row>
    <row r="344" spans="1:7" x14ac:dyDescent="0.3">
      <c r="A344" t="s">
        <v>378</v>
      </c>
      <c r="B344">
        <v>419.14</v>
      </c>
      <c r="C344">
        <v>231.3</v>
      </c>
      <c r="D344">
        <v>138.07</v>
      </c>
      <c r="E344" s="12">
        <f t="shared" si="18"/>
        <v>9.5524669245827809E-4</v>
      </c>
      <c r="F344" s="12">
        <f t="shared" si="18"/>
        <v>-1.0904425914047389E-2</v>
      </c>
      <c r="G344" s="12">
        <f t="shared" si="18"/>
        <v>4.9164133738601734E-2</v>
      </c>
    </row>
    <row r="345" spans="1:7" x14ac:dyDescent="0.3">
      <c r="A345" t="s">
        <v>379</v>
      </c>
      <c r="B345">
        <v>416.32</v>
      </c>
      <c r="C345">
        <v>227.55</v>
      </c>
      <c r="D345">
        <v>134.80000000000001</v>
      </c>
      <c r="E345" s="12">
        <f t="shared" si="18"/>
        <v>-6.7280622226463249E-3</v>
      </c>
      <c r="F345" s="12">
        <f t="shared" si="18"/>
        <v>-1.6212710765240002E-2</v>
      </c>
      <c r="G345" s="12">
        <f t="shared" si="18"/>
        <v>-2.3683638733975387E-2</v>
      </c>
    </row>
    <row r="346" spans="1:7" x14ac:dyDescent="0.3">
      <c r="A346" t="s">
        <v>380</v>
      </c>
      <c r="B346">
        <v>415.84</v>
      </c>
      <c r="C346">
        <v>229.04</v>
      </c>
      <c r="D346">
        <v>134.81</v>
      </c>
      <c r="E346" s="12">
        <f t="shared" si="18"/>
        <v>-1.1529592621061235E-3</v>
      </c>
      <c r="F346" s="12">
        <f t="shared" si="18"/>
        <v>6.5480114260600963E-3</v>
      </c>
      <c r="G346" s="12">
        <f t="shared" si="18"/>
        <v>7.4183976261021911E-5</v>
      </c>
    </row>
    <row r="347" spans="1:7" x14ac:dyDescent="0.3">
      <c r="A347" t="s">
        <v>381</v>
      </c>
      <c r="B347">
        <v>417.46</v>
      </c>
      <c r="C347">
        <v>229.54</v>
      </c>
      <c r="D347">
        <v>132.65</v>
      </c>
      <c r="E347" s="12">
        <f t="shared" si="18"/>
        <v>3.8957291265870886E-3</v>
      </c>
      <c r="F347" s="12">
        <f t="shared" si="18"/>
        <v>2.1830247991616591E-3</v>
      </c>
      <c r="G347" s="12">
        <f t="shared" si="18"/>
        <v>-1.6022550255915702E-2</v>
      </c>
    </row>
    <row r="348" spans="1:7" x14ac:dyDescent="0.3">
      <c r="A348" t="s">
        <v>382</v>
      </c>
      <c r="B348">
        <v>414.71</v>
      </c>
      <c r="C348">
        <v>225.77</v>
      </c>
      <c r="D348">
        <v>132.88999999999999</v>
      </c>
      <c r="E348" s="12">
        <f t="shared" si="18"/>
        <v>-6.5874574809562381E-3</v>
      </c>
      <c r="F348" s="12">
        <f t="shared" si="18"/>
        <v>-1.642415265313224E-2</v>
      </c>
      <c r="G348" s="12">
        <f t="shared" si="18"/>
        <v>1.8092725216733996E-3</v>
      </c>
    </row>
    <row r="349" spans="1:7" x14ac:dyDescent="0.3">
      <c r="A349" t="s">
        <v>383</v>
      </c>
      <c r="B349">
        <v>409.54</v>
      </c>
      <c r="C349">
        <v>221.69</v>
      </c>
      <c r="D349">
        <v>127.72</v>
      </c>
      <c r="E349" s="12">
        <f t="shared" si="18"/>
        <v>-1.2466542885389731E-2</v>
      </c>
      <c r="F349" s="12">
        <f t="shared" si="18"/>
        <v>-1.8071488683173209E-2</v>
      </c>
      <c r="G349" s="12">
        <f t="shared" si="18"/>
        <v>-3.8904356986981581E-2</v>
      </c>
    </row>
    <row r="350" spans="1:7" x14ac:dyDescent="0.3">
      <c r="A350" t="s">
        <v>384</v>
      </c>
      <c r="B350">
        <v>416.06</v>
      </c>
      <c r="C350">
        <v>226.8</v>
      </c>
      <c r="D350">
        <v>124.92</v>
      </c>
      <c r="E350" s="12">
        <f t="shared" si="18"/>
        <v>1.5920300825316147E-2</v>
      </c>
      <c r="F350" s="12">
        <f t="shared" si="18"/>
        <v>2.3050205241553545E-2</v>
      </c>
      <c r="G350" s="12">
        <f t="shared" si="18"/>
        <v>-2.1922956467272159E-2</v>
      </c>
    </row>
    <row r="351" spans="1:7" x14ac:dyDescent="0.3">
      <c r="A351" t="s">
        <v>385</v>
      </c>
      <c r="B351">
        <v>416.54</v>
      </c>
      <c r="C351">
        <v>225.67</v>
      </c>
      <c r="D351">
        <v>122.85</v>
      </c>
      <c r="E351" s="12">
        <f t="shared" si="18"/>
        <v>1.1536797577273994E-3</v>
      </c>
      <c r="F351" s="12">
        <f t="shared" si="18"/>
        <v>-4.9823633156967917E-3</v>
      </c>
      <c r="G351" s="12">
        <f t="shared" si="18"/>
        <v>-1.6570605187319898E-2</v>
      </c>
    </row>
    <row r="352" spans="1:7" x14ac:dyDescent="0.3">
      <c r="A352" t="s">
        <v>386</v>
      </c>
      <c r="B352">
        <v>417.13</v>
      </c>
      <c r="C352">
        <v>226.78</v>
      </c>
      <c r="D352">
        <v>118.85</v>
      </c>
      <c r="E352" s="12">
        <f t="shared" si="18"/>
        <v>1.4164305949007083E-3</v>
      </c>
      <c r="F352" s="12">
        <f t="shared" si="18"/>
        <v>4.9186865777464117E-3</v>
      </c>
      <c r="G352" s="12">
        <f t="shared" si="18"/>
        <v>-3.2560032560032592E-2</v>
      </c>
    </row>
    <row r="353" spans="1:7" x14ac:dyDescent="0.3">
      <c r="A353" t="s">
        <v>387</v>
      </c>
      <c r="B353">
        <v>420.69</v>
      </c>
      <c r="C353">
        <v>226.21</v>
      </c>
      <c r="D353">
        <v>117</v>
      </c>
      <c r="E353" s="12">
        <f t="shared" si="18"/>
        <v>8.5345096252966712E-3</v>
      </c>
      <c r="F353" s="12">
        <f t="shared" si="18"/>
        <v>-2.5134491577740725E-3</v>
      </c>
      <c r="G353" s="12">
        <f t="shared" si="18"/>
        <v>-1.5565839293226746E-2</v>
      </c>
    </row>
    <row r="354" spans="1:7" x14ac:dyDescent="0.3">
      <c r="A354" t="s">
        <v>388</v>
      </c>
      <c r="B354">
        <v>430.3</v>
      </c>
      <c r="C354">
        <v>233</v>
      </c>
      <c r="D354">
        <v>121.44</v>
      </c>
      <c r="E354" s="12">
        <f t="shared" si="18"/>
        <v>2.2843423898832871E-2</v>
      </c>
      <c r="F354" s="12">
        <f t="shared" si="18"/>
        <v>3.0016356482914119E-2</v>
      </c>
      <c r="G354" s="12">
        <f t="shared" si="18"/>
        <v>3.7948717948717903E-2</v>
      </c>
    </row>
    <row r="355" spans="1:7" x14ac:dyDescent="0.3">
      <c r="A355" t="s">
        <v>389</v>
      </c>
      <c r="B355">
        <v>428.02</v>
      </c>
      <c r="C355">
        <v>227.79</v>
      </c>
      <c r="D355">
        <v>121.4</v>
      </c>
      <c r="E355" s="12">
        <f t="shared" si="18"/>
        <v>-5.2986288635835654E-3</v>
      </c>
      <c r="F355" s="12">
        <f t="shared" si="18"/>
        <v>-2.2360515021459304E-2</v>
      </c>
      <c r="G355" s="12">
        <f t="shared" si="18"/>
        <v>-3.2938076416333395E-4</v>
      </c>
    </row>
    <row r="356" spans="1:7" x14ac:dyDescent="0.3">
      <c r="A356" t="s">
        <v>390</v>
      </c>
      <c r="B356">
        <v>431.31</v>
      </c>
      <c r="C356">
        <v>227.52</v>
      </c>
      <c r="D356">
        <v>124.04</v>
      </c>
      <c r="E356" s="12">
        <f t="shared" si="18"/>
        <v>7.6865567029578141E-3</v>
      </c>
      <c r="F356" s="12">
        <f t="shared" si="18"/>
        <v>-1.1853022520742496E-3</v>
      </c>
      <c r="G356" s="12">
        <f t="shared" si="18"/>
        <v>2.1746293245469506E-2</v>
      </c>
    </row>
    <row r="357" spans="1:7" x14ac:dyDescent="0.3">
      <c r="A357" t="s">
        <v>391</v>
      </c>
      <c r="B357">
        <v>432.11</v>
      </c>
      <c r="C357">
        <v>226.37</v>
      </c>
      <c r="D357">
        <v>123.51</v>
      </c>
      <c r="E357" s="12">
        <f t="shared" si="18"/>
        <v>1.8548144026337976E-3</v>
      </c>
      <c r="F357" s="12">
        <f t="shared" si="18"/>
        <v>-5.0545007032348765E-3</v>
      </c>
      <c r="G357" s="12">
        <f t="shared" si="18"/>
        <v>-4.2728152208965087E-3</v>
      </c>
    </row>
    <row r="358" spans="1:7" x14ac:dyDescent="0.3">
      <c r="A358" t="s">
        <v>392</v>
      </c>
      <c r="B358">
        <v>429.17</v>
      </c>
      <c r="C358">
        <v>227.37</v>
      </c>
      <c r="D358">
        <v>120.87</v>
      </c>
      <c r="E358" s="12">
        <f t="shared" si="18"/>
        <v>-6.8038231005993488E-3</v>
      </c>
      <c r="F358" s="12">
        <f t="shared" si="18"/>
        <v>4.4175464946769605E-3</v>
      </c>
      <c r="G358" s="12">
        <f t="shared" si="18"/>
        <v>-2.137478746660193E-2</v>
      </c>
    </row>
    <row r="359" spans="1:7" x14ac:dyDescent="0.3">
      <c r="A359" t="s">
        <v>393</v>
      </c>
      <c r="B359">
        <v>433.51</v>
      </c>
      <c r="C359">
        <v>226.47</v>
      </c>
      <c r="D359">
        <v>116.26</v>
      </c>
      <c r="E359" s="12">
        <f t="shared" si="18"/>
        <v>1.0112542815201353E-2</v>
      </c>
      <c r="F359" s="12">
        <f t="shared" si="18"/>
        <v>-3.9583058450983755E-3</v>
      </c>
      <c r="G359" s="12">
        <f t="shared" si="18"/>
        <v>-3.8140150574997977E-2</v>
      </c>
    </row>
    <row r="360" spans="1:7" x14ac:dyDescent="0.3">
      <c r="A360" t="s">
        <v>394</v>
      </c>
      <c r="B360">
        <v>435.27</v>
      </c>
      <c r="C360">
        <v>228.2</v>
      </c>
      <c r="D360">
        <v>116</v>
      </c>
      <c r="E360" s="12">
        <f t="shared" si="18"/>
        <v>4.0598832783558247E-3</v>
      </c>
      <c r="F360" s="12">
        <f t="shared" si="18"/>
        <v>7.6389808804697701E-3</v>
      </c>
      <c r="G360" s="12">
        <f t="shared" si="18"/>
        <v>-2.2363667641494001E-3</v>
      </c>
    </row>
    <row r="361" spans="1:7" x14ac:dyDescent="0.3">
      <c r="A361" t="s">
        <v>395</v>
      </c>
      <c r="B361">
        <v>438.69</v>
      </c>
      <c r="C361">
        <v>228.87</v>
      </c>
      <c r="D361">
        <v>117.87</v>
      </c>
      <c r="E361" s="12">
        <f t="shared" si="18"/>
        <v>7.8571920876697732E-3</v>
      </c>
      <c r="F361" s="12">
        <f t="shared" si="18"/>
        <v>2.9360210341806692E-3</v>
      </c>
      <c r="G361" s="12">
        <f t="shared" si="18"/>
        <v>1.6120689655172438E-2</v>
      </c>
    </row>
    <row r="362" spans="1:7" x14ac:dyDescent="0.3">
      <c r="A362" t="s">
        <v>396</v>
      </c>
      <c r="B362">
        <v>430.81</v>
      </c>
      <c r="C362">
        <v>220.69</v>
      </c>
      <c r="D362">
        <v>113.37</v>
      </c>
      <c r="E362" s="12">
        <f t="shared" si="18"/>
        <v>-1.7962570379994935E-2</v>
      </c>
      <c r="F362" s="12">
        <f t="shared" si="18"/>
        <v>-3.5740813562284313E-2</v>
      </c>
      <c r="G362" s="12">
        <f t="shared" si="18"/>
        <v>-3.8177653346907592E-2</v>
      </c>
    </row>
    <row r="363" spans="1:7" x14ac:dyDescent="0.3">
      <c r="A363" t="s">
        <v>397</v>
      </c>
      <c r="B363">
        <v>435.15</v>
      </c>
      <c r="C363">
        <v>216.79</v>
      </c>
      <c r="D363">
        <v>115.59</v>
      </c>
      <c r="E363" s="12">
        <f t="shared" si="18"/>
        <v>1.0074046563450123E-2</v>
      </c>
      <c r="F363" s="12">
        <f t="shared" si="18"/>
        <v>-1.7671847387738526E-2</v>
      </c>
      <c r="G363" s="12">
        <f t="shared" si="18"/>
        <v>1.9581899973537986E-2</v>
      </c>
    </row>
    <row r="364" spans="1:7" x14ac:dyDescent="0.3">
      <c r="A364" t="s">
        <v>398</v>
      </c>
      <c r="B364">
        <v>431.34</v>
      </c>
      <c r="C364">
        <v>216.32</v>
      </c>
      <c r="D364">
        <v>116.78</v>
      </c>
      <c r="E364" s="12">
        <f t="shared" si="18"/>
        <v>-8.755601516718392E-3</v>
      </c>
      <c r="F364" s="12">
        <f t="shared" si="18"/>
        <v>-2.1679966788136218E-3</v>
      </c>
      <c r="G364" s="12">
        <f t="shared" si="18"/>
        <v>1.0295008218704105E-2</v>
      </c>
    </row>
    <row r="365" spans="1:7" x14ac:dyDescent="0.3">
      <c r="A365" t="s">
        <v>399</v>
      </c>
      <c r="B365">
        <v>430.59</v>
      </c>
      <c r="C365">
        <v>222.5</v>
      </c>
      <c r="D365">
        <v>119.1</v>
      </c>
      <c r="E365" s="12">
        <f t="shared" si="18"/>
        <v>-1.7387675615523346E-3</v>
      </c>
      <c r="F365" s="12">
        <f t="shared" si="18"/>
        <v>2.8568786982248628E-2</v>
      </c>
      <c r="G365" s="12">
        <f t="shared" si="18"/>
        <v>1.9866415482103106E-2</v>
      </c>
    </row>
    <row r="366" spans="1:7" x14ac:dyDescent="0.3">
      <c r="A366" t="s">
        <v>400</v>
      </c>
      <c r="B366">
        <v>427</v>
      </c>
      <c r="C366">
        <v>222.77</v>
      </c>
      <c r="D366">
        <v>119.14</v>
      </c>
      <c r="E366" s="12">
        <f t="shared" si="18"/>
        <v>-8.3373975243270504E-3</v>
      </c>
      <c r="F366" s="12">
        <f t="shared" si="18"/>
        <v>1.2134831460675066E-3</v>
      </c>
      <c r="G366" s="12">
        <f t="shared" si="18"/>
        <v>3.3585222502097167E-4</v>
      </c>
    </row>
    <row r="367" spans="1:7" x14ac:dyDescent="0.3">
      <c r="A367" t="s">
        <v>401</v>
      </c>
      <c r="B367">
        <v>423.04</v>
      </c>
      <c r="C367">
        <v>222.66</v>
      </c>
      <c r="D367">
        <v>116.91</v>
      </c>
      <c r="E367" s="12">
        <f t="shared" si="18"/>
        <v>-9.2740046838406531E-3</v>
      </c>
      <c r="F367" s="12">
        <f t="shared" si="18"/>
        <v>-4.9378282533563134E-4</v>
      </c>
      <c r="G367" s="12">
        <f t="shared" si="18"/>
        <v>-1.8717475239214409E-2</v>
      </c>
    </row>
    <row r="368" spans="1:7" x14ac:dyDescent="0.3">
      <c r="A368" t="s">
        <v>402</v>
      </c>
      <c r="B368">
        <v>414.2</v>
      </c>
      <c r="C368">
        <v>220.11</v>
      </c>
      <c r="D368">
        <v>108.1</v>
      </c>
      <c r="E368" s="12">
        <f t="shared" si="18"/>
        <v>-2.0896369137670234E-2</v>
      </c>
      <c r="F368" s="12">
        <f t="shared" si="18"/>
        <v>-1.1452438695769285E-2</v>
      </c>
      <c r="G368" s="12">
        <f t="shared" si="18"/>
        <v>-7.5357112308613527E-2</v>
      </c>
    </row>
    <row r="369" spans="1:7" x14ac:dyDescent="0.3">
      <c r="A369" t="s">
        <v>403</v>
      </c>
      <c r="B369">
        <v>405.72</v>
      </c>
      <c r="C369">
        <v>220.91</v>
      </c>
      <c r="D369">
        <v>106.47</v>
      </c>
      <c r="E369" s="12">
        <f t="shared" si="18"/>
        <v>-2.0473201352003811E-2</v>
      </c>
      <c r="F369" s="12">
        <f t="shared" si="18"/>
        <v>3.6345463631819452E-3</v>
      </c>
      <c r="G369" s="12">
        <f t="shared" si="18"/>
        <v>-1.5078630897317202E-2</v>
      </c>
    </row>
    <row r="370" spans="1:7" x14ac:dyDescent="0.3">
      <c r="A370" t="s">
        <v>404</v>
      </c>
      <c r="B370">
        <v>401.7</v>
      </c>
      <c r="C370">
        <v>220.82</v>
      </c>
      <c r="D370">
        <v>102.83</v>
      </c>
      <c r="E370" s="12">
        <f t="shared" si="18"/>
        <v>-9.9083111505472443E-3</v>
      </c>
      <c r="F370" s="12">
        <f t="shared" si="18"/>
        <v>-4.0740573084063758E-4</v>
      </c>
      <c r="G370" s="12">
        <f t="shared" si="18"/>
        <v>-3.4188034188034178E-2</v>
      </c>
    </row>
    <row r="371" spans="1:7" x14ac:dyDescent="0.3">
      <c r="A371" t="s">
        <v>405</v>
      </c>
      <c r="B371">
        <v>408.39</v>
      </c>
      <c r="C371">
        <v>222.38</v>
      </c>
      <c r="D371">
        <v>107.21</v>
      </c>
      <c r="E371" s="12">
        <f t="shared" si="18"/>
        <v>1.6654219566840878E-2</v>
      </c>
      <c r="F371" s="12">
        <f t="shared" si="18"/>
        <v>7.0645774839235287E-3</v>
      </c>
      <c r="G371" s="12">
        <f t="shared" si="18"/>
        <v>4.2594573568024874E-2</v>
      </c>
    </row>
    <row r="372" spans="1:7" x14ac:dyDescent="0.3">
      <c r="A372" t="s">
        <v>406</v>
      </c>
      <c r="B372">
        <v>408.9</v>
      </c>
      <c r="C372">
        <v>220.85</v>
      </c>
      <c r="D372">
        <v>106.21</v>
      </c>
      <c r="E372" s="12">
        <f t="shared" si="18"/>
        <v>1.2488062881068629E-3</v>
      </c>
      <c r="F372" s="12">
        <f t="shared" si="18"/>
        <v>-6.8801151182660281E-3</v>
      </c>
      <c r="G372" s="12">
        <f t="shared" si="18"/>
        <v>-9.3274881074526528E-3</v>
      </c>
    </row>
    <row r="373" spans="1:7" x14ac:dyDescent="0.3">
      <c r="A373" t="s">
        <v>407</v>
      </c>
      <c r="B373">
        <v>409.44</v>
      </c>
      <c r="C373">
        <v>222.77</v>
      </c>
      <c r="D373">
        <v>108</v>
      </c>
      <c r="E373" s="12">
        <f t="shared" si="18"/>
        <v>1.3206162876009397E-3</v>
      </c>
      <c r="F373" s="12">
        <f t="shared" si="18"/>
        <v>8.6936834955853026E-3</v>
      </c>
      <c r="G373" s="12">
        <f t="shared" si="18"/>
        <v>1.6853403634309538E-2</v>
      </c>
    </row>
    <row r="374" spans="1:7" x14ac:dyDescent="0.3">
      <c r="A374" t="s">
        <v>408</v>
      </c>
      <c r="B374">
        <v>417.14</v>
      </c>
      <c r="C374">
        <v>229</v>
      </c>
      <c r="D374">
        <v>119.37</v>
      </c>
      <c r="E374" s="12">
        <f t="shared" si="18"/>
        <v>1.8806174286830846E-2</v>
      </c>
      <c r="F374" s="12">
        <f t="shared" si="18"/>
        <v>2.7966063653095175E-2</v>
      </c>
      <c r="G374" s="12">
        <f t="shared" si="18"/>
        <v>0.1052777777777778</v>
      </c>
    </row>
    <row r="375" spans="1:7" x14ac:dyDescent="0.3">
      <c r="A375" t="s">
        <v>409</v>
      </c>
      <c r="B375">
        <v>413.12</v>
      </c>
      <c r="C375">
        <v>229.79</v>
      </c>
      <c r="D375">
        <v>117.59</v>
      </c>
      <c r="E375" s="12">
        <f t="shared" si="18"/>
        <v>-9.6370523085773652E-3</v>
      </c>
      <c r="F375" s="12">
        <f t="shared" si="18"/>
        <v>3.4497816593885844E-3</v>
      </c>
      <c r="G375" s="12">
        <f t="shared" si="18"/>
        <v>-1.4911619334841308E-2</v>
      </c>
    </row>
    <row r="376" spans="1:7" x14ac:dyDescent="0.3">
      <c r="A376" t="s">
        <v>410</v>
      </c>
      <c r="B376">
        <v>410.6</v>
      </c>
      <c r="C376">
        <v>226.49</v>
      </c>
      <c r="D376">
        <v>125.61</v>
      </c>
      <c r="E376" s="12">
        <f t="shared" si="18"/>
        <v>-6.0999225406661584E-3</v>
      </c>
      <c r="F376" s="12">
        <f t="shared" si="18"/>
        <v>-1.4360938247965471E-2</v>
      </c>
      <c r="G376" s="12">
        <f t="shared" si="18"/>
        <v>6.8203078493069169E-2</v>
      </c>
    </row>
    <row r="377" spans="1:7" x14ac:dyDescent="0.3">
      <c r="A377" t="s">
        <v>411</v>
      </c>
      <c r="B377">
        <v>413.84</v>
      </c>
      <c r="C377">
        <v>228.03</v>
      </c>
      <c r="D377">
        <v>128.30000000000001</v>
      </c>
      <c r="E377" s="12">
        <f t="shared" si="18"/>
        <v>7.8908913784703216E-3</v>
      </c>
      <c r="F377" s="12">
        <f t="shared" si="18"/>
        <v>6.7994171928120739E-3</v>
      </c>
      <c r="G377" s="12">
        <f t="shared" si="18"/>
        <v>2.1415492397102165E-2</v>
      </c>
    </row>
    <row r="378" spans="1:7" x14ac:dyDescent="0.3">
      <c r="A378" t="s">
        <v>412</v>
      </c>
      <c r="B378">
        <v>413.49</v>
      </c>
      <c r="C378">
        <v>227.18</v>
      </c>
      <c r="D378">
        <v>126.46</v>
      </c>
      <c r="E378" s="12">
        <f t="shared" si="18"/>
        <v>-8.4573748308514052E-4</v>
      </c>
      <c r="F378" s="12">
        <f t="shared" si="18"/>
        <v>-3.7275797044248327E-3</v>
      </c>
      <c r="G378" s="12">
        <f t="shared" si="18"/>
        <v>-1.4341387373343895E-2</v>
      </c>
    </row>
    <row r="379" spans="1:7" x14ac:dyDescent="0.3">
      <c r="A379" t="s">
        <v>413</v>
      </c>
      <c r="B379">
        <v>416.79</v>
      </c>
      <c r="C379">
        <v>226.84</v>
      </c>
      <c r="D379">
        <v>129.37</v>
      </c>
      <c r="E379" s="12">
        <f t="shared" si="18"/>
        <v>7.9808459696728562E-3</v>
      </c>
      <c r="F379" s="12">
        <f t="shared" si="18"/>
        <v>-1.4966106171317994E-3</v>
      </c>
      <c r="G379" s="12">
        <f t="shared" si="18"/>
        <v>2.3011228847066301E-2</v>
      </c>
    </row>
    <row r="380" spans="1:7" x14ac:dyDescent="0.3">
      <c r="A380" t="s">
        <v>414</v>
      </c>
      <c r="B380">
        <v>415.55</v>
      </c>
      <c r="C380">
        <v>224.53</v>
      </c>
      <c r="D380">
        <v>123.74</v>
      </c>
      <c r="E380" s="12">
        <f t="shared" si="18"/>
        <v>-2.9751193646680996E-3</v>
      </c>
      <c r="F380" s="12">
        <f t="shared" si="18"/>
        <v>-1.0183389172985335E-2</v>
      </c>
      <c r="G380" s="12">
        <f t="shared" si="18"/>
        <v>-4.3518590090438347E-2</v>
      </c>
    </row>
    <row r="381" spans="1:7" x14ac:dyDescent="0.3">
      <c r="A381" t="s">
        <v>415</v>
      </c>
      <c r="B381">
        <v>424.14</v>
      </c>
      <c r="C381">
        <v>226.4</v>
      </c>
      <c r="D381">
        <v>128.5</v>
      </c>
      <c r="E381" s="12">
        <f t="shared" si="18"/>
        <v>2.0671399350258524E-2</v>
      </c>
      <c r="F381" s="12">
        <f t="shared" si="18"/>
        <v>8.3285084398521114E-3</v>
      </c>
      <c r="G381" s="12">
        <f t="shared" si="18"/>
        <v>3.8467754970098689E-2</v>
      </c>
    </row>
    <row r="382" spans="1:7" x14ac:dyDescent="0.3">
      <c r="A382" t="s">
        <v>416</v>
      </c>
      <c r="B382">
        <v>424.8</v>
      </c>
      <c r="C382">
        <v>226.51</v>
      </c>
      <c r="D382">
        <v>127.25</v>
      </c>
      <c r="E382" s="12">
        <f t="shared" si="18"/>
        <v>1.5560899702928843E-3</v>
      </c>
      <c r="F382" s="12">
        <f t="shared" si="18"/>
        <v>4.8586572438158449E-4</v>
      </c>
      <c r="G382" s="12">
        <f t="shared" si="18"/>
        <v>-9.7276264591439343E-3</v>
      </c>
    </row>
    <row r="383" spans="1:7" x14ac:dyDescent="0.3">
      <c r="A383" t="s">
        <v>417</v>
      </c>
      <c r="B383">
        <v>421.53</v>
      </c>
      <c r="C383">
        <v>225.89</v>
      </c>
      <c r="D383">
        <v>130</v>
      </c>
      <c r="E383" s="12">
        <f t="shared" si="18"/>
        <v>-7.6977401129944001E-3</v>
      </c>
      <c r="F383" s="12">
        <f t="shared" si="18"/>
        <v>-2.7371859962033174E-3</v>
      </c>
      <c r="G383" s="12">
        <f t="shared" si="18"/>
        <v>2.16110019646365E-2</v>
      </c>
    </row>
    <row r="384" spans="1:7" x14ac:dyDescent="0.3">
      <c r="A384" t="s">
        <v>418</v>
      </c>
      <c r="B384">
        <v>418.47</v>
      </c>
      <c r="C384">
        <v>226.05</v>
      </c>
      <c r="D384">
        <v>124.58</v>
      </c>
      <c r="E384" s="12">
        <f t="shared" si="18"/>
        <v>-7.259269802860846E-3</v>
      </c>
      <c r="F384" s="12">
        <f t="shared" si="18"/>
        <v>7.0830935411048124E-4</v>
      </c>
      <c r="G384" s="12">
        <f t="shared" si="18"/>
        <v>-4.1692307692307695E-2</v>
      </c>
    </row>
    <row r="385" spans="1:7" x14ac:dyDescent="0.3">
      <c r="A385" t="s">
        <v>419</v>
      </c>
      <c r="B385">
        <v>421.03</v>
      </c>
      <c r="C385">
        <v>224.72</v>
      </c>
      <c r="D385">
        <v>122.86</v>
      </c>
      <c r="E385" s="12">
        <f t="shared" si="18"/>
        <v>6.1175233589025879E-3</v>
      </c>
      <c r="F385" s="12">
        <f t="shared" si="18"/>
        <v>-5.8836540588366182E-3</v>
      </c>
      <c r="G385" s="12">
        <f t="shared" si="18"/>
        <v>-1.3806389468614566E-2</v>
      </c>
    </row>
    <row r="386" spans="1:7" x14ac:dyDescent="0.3">
      <c r="A386" t="s">
        <v>420</v>
      </c>
      <c r="B386">
        <v>416.86</v>
      </c>
      <c r="C386">
        <v>221.72</v>
      </c>
      <c r="D386">
        <v>118.08</v>
      </c>
      <c r="E386" s="12">
        <f t="shared" si="18"/>
        <v>-9.9042823551764858E-3</v>
      </c>
      <c r="F386" s="12">
        <f t="shared" si="18"/>
        <v>-1.3349946600213602E-2</v>
      </c>
      <c r="G386" s="12">
        <f t="shared" si="18"/>
        <v>-3.8906071951815058E-2</v>
      </c>
    </row>
    <row r="387" spans="1:7" x14ac:dyDescent="0.3">
      <c r="A387" t="s">
        <v>421</v>
      </c>
      <c r="B387">
        <v>414.01</v>
      </c>
      <c r="C387">
        <v>221.27</v>
      </c>
      <c r="D387">
        <v>116.14</v>
      </c>
      <c r="E387" s="12">
        <f t="shared" si="18"/>
        <v>-6.8368277119417176E-3</v>
      </c>
      <c r="F387" s="12">
        <f t="shared" si="18"/>
        <v>-2.0295868663178229E-3</v>
      </c>
      <c r="G387" s="12">
        <f t="shared" si="18"/>
        <v>-1.6429539295392925E-2</v>
      </c>
    </row>
    <row r="388" spans="1:7" x14ac:dyDescent="0.3">
      <c r="A388" t="s">
        <v>422</v>
      </c>
      <c r="B388">
        <v>406.81</v>
      </c>
      <c r="C388">
        <v>217.53</v>
      </c>
      <c r="D388">
        <v>109.02</v>
      </c>
      <c r="E388" s="12">
        <f t="shared" ref="E388:G451" si="19">B388/B387-1</f>
        <v>-1.7390884278157492E-2</v>
      </c>
      <c r="F388" s="12">
        <f t="shared" si="19"/>
        <v>-1.6902426899263356E-2</v>
      </c>
      <c r="G388" s="12">
        <f t="shared" si="19"/>
        <v>-6.1305321164112359E-2</v>
      </c>
    </row>
    <row r="389" spans="1:7" x14ac:dyDescent="0.3">
      <c r="A389" t="s">
        <v>423</v>
      </c>
      <c r="B389">
        <v>406.02</v>
      </c>
      <c r="C389">
        <v>216.24</v>
      </c>
      <c r="D389">
        <v>104.75</v>
      </c>
      <c r="E389" s="12">
        <f t="shared" si="19"/>
        <v>-1.9419384970871256E-3</v>
      </c>
      <c r="F389" s="12">
        <f t="shared" si="19"/>
        <v>-5.9302165218589886E-3</v>
      </c>
      <c r="G389" s="12">
        <f t="shared" si="19"/>
        <v>-3.9167125298110395E-2</v>
      </c>
    </row>
    <row r="390" spans="1:7" x14ac:dyDescent="0.3">
      <c r="A390" t="s">
        <v>424</v>
      </c>
      <c r="B390">
        <v>402.69</v>
      </c>
      <c r="C390">
        <v>213.31</v>
      </c>
      <c r="D390">
        <v>104.97</v>
      </c>
      <c r="E390" s="12">
        <f t="shared" si="19"/>
        <v>-8.2015664252992337E-3</v>
      </c>
      <c r="F390" s="12">
        <f t="shared" si="19"/>
        <v>-1.3549759526452099E-2</v>
      </c>
      <c r="G390" s="12">
        <f t="shared" si="19"/>
        <v>2.1002386634845216E-3</v>
      </c>
    </row>
    <row r="391" spans="1:7" x14ac:dyDescent="0.3">
      <c r="A391" t="s">
        <v>425</v>
      </c>
      <c r="B391">
        <v>398.43</v>
      </c>
      <c r="C391">
        <v>209.82</v>
      </c>
      <c r="D391">
        <v>98.91</v>
      </c>
      <c r="E391" s="12">
        <f t="shared" si="19"/>
        <v>-1.0578857185427948E-2</v>
      </c>
      <c r="F391" s="12">
        <f t="shared" si="19"/>
        <v>-1.6361164502367465E-2</v>
      </c>
      <c r="G391" s="12">
        <f t="shared" si="19"/>
        <v>-5.7730780222920886E-2</v>
      </c>
    </row>
    <row r="392" spans="1:7" x14ac:dyDescent="0.3">
      <c r="A392" t="s">
        <v>426</v>
      </c>
      <c r="B392">
        <v>399.61</v>
      </c>
      <c r="C392">
        <v>207.23</v>
      </c>
      <c r="D392">
        <v>104.25</v>
      </c>
      <c r="E392" s="12">
        <f t="shared" si="19"/>
        <v>2.9616243756744876E-3</v>
      </c>
      <c r="F392" s="12">
        <f t="shared" si="19"/>
        <v>-1.234391383090272E-2</v>
      </c>
      <c r="G392" s="12">
        <f t="shared" si="19"/>
        <v>5.3988474370640027E-2</v>
      </c>
    </row>
    <row r="393" spans="1:7" x14ac:dyDescent="0.3">
      <c r="A393" t="s">
        <v>427</v>
      </c>
      <c r="B393">
        <v>395.15</v>
      </c>
      <c r="C393">
        <v>209.27</v>
      </c>
      <c r="D393">
        <v>100.45</v>
      </c>
      <c r="E393" s="12">
        <f t="shared" si="19"/>
        <v>-1.1160881859813454E-2</v>
      </c>
      <c r="F393" s="12">
        <f t="shared" si="19"/>
        <v>9.8441345365054556E-3</v>
      </c>
      <c r="G393" s="12">
        <f t="shared" si="19"/>
        <v>-3.6450839328537099E-2</v>
      </c>
    </row>
    <row r="394" spans="1:7" x14ac:dyDescent="0.3">
      <c r="A394" t="s">
        <v>428</v>
      </c>
      <c r="B394">
        <v>408.49</v>
      </c>
      <c r="C394">
        <v>219.86</v>
      </c>
      <c r="D394">
        <v>107.27</v>
      </c>
      <c r="E394" s="12">
        <f t="shared" si="19"/>
        <v>3.3759331899278822E-2</v>
      </c>
      <c r="F394" s="12">
        <f t="shared" si="19"/>
        <v>5.0604482247813776E-2</v>
      </c>
      <c r="G394" s="12">
        <f t="shared" si="19"/>
        <v>6.7894474863115839E-2</v>
      </c>
    </row>
    <row r="395" spans="1:7" x14ac:dyDescent="0.3">
      <c r="A395" t="s">
        <v>429</v>
      </c>
      <c r="B395">
        <v>417.11</v>
      </c>
      <c r="C395">
        <v>218.36</v>
      </c>
      <c r="D395">
        <v>109.21</v>
      </c>
      <c r="E395" s="12">
        <f t="shared" si="19"/>
        <v>2.1102107762736022E-2</v>
      </c>
      <c r="F395" s="12">
        <f t="shared" si="19"/>
        <v>-6.82252342399714E-3</v>
      </c>
      <c r="G395" s="12">
        <f t="shared" si="19"/>
        <v>1.8085205556073403E-2</v>
      </c>
    </row>
    <row r="396" spans="1:7" x14ac:dyDescent="0.3">
      <c r="A396" t="s">
        <v>430</v>
      </c>
      <c r="B396">
        <v>418.35</v>
      </c>
      <c r="C396">
        <v>222.08</v>
      </c>
      <c r="D396">
        <v>117.02</v>
      </c>
      <c r="E396" s="12">
        <f t="shared" si="19"/>
        <v>2.9728369015367129E-3</v>
      </c>
      <c r="F396" s="12">
        <f t="shared" si="19"/>
        <v>1.7036087195457128E-2</v>
      </c>
      <c r="G396" s="12">
        <f t="shared" si="19"/>
        <v>7.1513597655892269E-2</v>
      </c>
    </row>
    <row r="397" spans="1:7" x14ac:dyDescent="0.3">
      <c r="A397" t="s">
        <v>431</v>
      </c>
      <c r="B397">
        <v>422.92</v>
      </c>
      <c r="C397">
        <v>218.8</v>
      </c>
      <c r="D397">
        <v>103.73</v>
      </c>
      <c r="E397" s="12">
        <f t="shared" si="19"/>
        <v>1.092386757499697E-2</v>
      </c>
      <c r="F397" s="12">
        <f t="shared" si="19"/>
        <v>-1.4769452449567733E-2</v>
      </c>
      <c r="G397" s="12">
        <f t="shared" si="19"/>
        <v>-0.11357032985814386</v>
      </c>
    </row>
    <row r="398" spans="1:7" x14ac:dyDescent="0.3">
      <c r="A398" t="s">
        <v>432</v>
      </c>
      <c r="B398">
        <v>426.73</v>
      </c>
      <c r="C398">
        <v>218.24</v>
      </c>
      <c r="D398">
        <v>111.59</v>
      </c>
      <c r="E398" s="12">
        <f t="shared" si="19"/>
        <v>9.0087959897853231E-3</v>
      </c>
      <c r="F398" s="12">
        <f t="shared" si="19"/>
        <v>-2.5594149908592101E-3</v>
      </c>
      <c r="G398" s="12">
        <f t="shared" si="19"/>
        <v>7.5773643111925137E-2</v>
      </c>
    </row>
    <row r="399" spans="1:7" x14ac:dyDescent="0.3">
      <c r="A399" t="s">
        <v>433</v>
      </c>
      <c r="B399">
        <v>425.27</v>
      </c>
      <c r="C399">
        <v>217.96</v>
      </c>
      <c r="D399">
        <v>113.06</v>
      </c>
      <c r="E399" s="12">
        <f t="shared" si="19"/>
        <v>-3.4213671408150903E-3</v>
      </c>
      <c r="F399" s="12">
        <f t="shared" si="19"/>
        <v>-1.2829912023460954E-3</v>
      </c>
      <c r="G399" s="12">
        <f t="shared" si="19"/>
        <v>1.3173223407115353E-2</v>
      </c>
    </row>
    <row r="400" spans="1:7" x14ac:dyDescent="0.3">
      <c r="A400" t="s">
        <v>434</v>
      </c>
      <c r="B400">
        <v>418.4</v>
      </c>
      <c r="C400">
        <v>217.49</v>
      </c>
      <c r="D400">
        <v>112.28</v>
      </c>
      <c r="E400" s="12">
        <f t="shared" si="19"/>
        <v>-1.6154443059703261E-2</v>
      </c>
      <c r="F400" s="12">
        <f t="shared" si="19"/>
        <v>-2.1563589649477022E-3</v>
      </c>
      <c r="G400" s="12">
        <f t="shared" si="19"/>
        <v>-6.8989916858305245E-3</v>
      </c>
    </row>
    <row r="401" spans="1:7" x14ac:dyDescent="0.3">
      <c r="A401" t="s">
        <v>435</v>
      </c>
      <c r="B401">
        <v>428.9</v>
      </c>
      <c r="C401">
        <v>218.54</v>
      </c>
      <c r="D401">
        <v>114.25</v>
      </c>
      <c r="E401" s="12">
        <f t="shared" si="19"/>
        <v>2.5095602294455066E-2</v>
      </c>
      <c r="F401" s="12">
        <f t="shared" si="19"/>
        <v>4.8278081750883217E-3</v>
      </c>
      <c r="G401" s="12">
        <f t="shared" si="19"/>
        <v>1.7545422158888435E-2</v>
      </c>
    </row>
    <row r="402" spans="1:7" x14ac:dyDescent="0.3">
      <c r="A402" t="s">
        <v>436</v>
      </c>
      <c r="B402">
        <v>444.85</v>
      </c>
      <c r="C402">
        <v>225.01</v>
      </c>
      <c r="D402">
        <v>122.59</v>
      </c>
      <c r="E402" s="12">
        <f t="shared" si="19"/>
        <v>3.7188155747260643E-2</v>
      </c>
      <c r="F402" s="12">
        <f t="shared" si="19"/>
        <v>2.9605564198773582E-2</v>
      </c>
      <c r="G402" s="12">
        <f t="shared" si="19"/>
        <v>7.2997811816192693E-2</v>
      </c>
    </row>
    <row r="403" spans="1:7" x14ac:dyDescent="0.3">
      <c r="A403" t="s">
        <v>437</v>
      </c>
      <c r="B403">
        <v>442.94</v>
      </c>
      <c r="C403">
        <v>223.96</v>
      </c>
      <c r="D403">
        <v>123.54</v>
      </c>
      <c r="E403" s="12">
        <f t="shared" si="19"/>
        <v>-4.29358210632802E-3</v>
      </c>
      <c r="F403" s="12">
        <f t="shared" si="19"/>
        <v>-4.6664592684768635E-3</v>
      </c>
      <c r="G403" s="12">
        <f t="shared" si="19"/>
        <v>7.7494085977649618E-3</v>
      </c>
    </row>
    <row r="404" spans="1:7" x14ac:dyDescent="0.3">
      <c r="A404" t="s">
        <v>438</v>
      </c>
      <c r="B404">
        <v>437.11</v>
      </c>
      <c r="C404">
        <v>224.31</v>
      </c>
      <c r="D404">
        <v>117.93</v>
      </c>
      <c r="E404" s="12">
        <f t="shared" si="19"/>
        <v>-1.316205355127098E-2</v>
      </c>
      <c r="F404" s="12">
        <f t="shared" si="19"/>
        <v>1.562779067690645E-3</v>
      </c>
      <c r="G404" s="12">
        <f t="shared" si="19"/>
        <v>-4.5410393394851867E-2</v>
      </c>
    </row>
    <row r="405" spans="1:7" x14ac:dyDescent="0.3">
      <c r="A405" t="s">
        <v>439</v>
      </c>
      <c r="B405">
        <v>440.37</v>
      </c>
      <c r="C405">
        <v>224.18</v>
      </c>
      <c r="D405">
        <v>121.09</v>
      </c>
      <c r="E405" s="12">
        <f t="shared" si="19"/>
        <v>7.4580769142778003E-3</v>
      </c>
      <c r="F405" s="12">
        <f t="shared" si="19"/>
        <v>-5.7955508002316414E-4</v>
      </c>
      <c r="G405" s="12">
        <f t="shared" si="19"/>
        <v>2.679555668616973E-2</v>
      </c>
    </row>
    <row r="406" spans="1:7" x14ac:dyDescent="0.3">
      <c r="A406" t="s">
        <v>440</v>
      </c>
      <c r="B406">
        <v>443.52</v>
      </c>
      <c r="C406">
        <v>228.88</v>
      </c>
      <c r="D406">
        <v>117.99</v>
      </c>
      <c r="E406" s="12">
        <f t="shared" si="19"/>
        <v>7.1530758226037161E-3</v>
      </c>
      <c r="F406" s="12">
        <f t="shared" si="19"/>
        <v>2.0965295744491019E-2</v>
      </c>
      <c r="G406" s="12">
        <f t="shared" si="19"/>
        <v>-2.5600792798744831E-2</v>
      </c>
    </row>
    <row r="407" spans="1:7" x14ac:dyDescent="0.3">
      <c r="A407" t="s">
        <v>441</v>
      </c>
      <c r="B407">
        <v>449.52</v>
      </c>
      <c r="C407">
        <v>234.82</v>
      </c>
      <c r="D407">
        <v>126.36</v>
      </c>
      <c r="E407" s="12">
        <f t="shared" si="19"/>
        <v>1.35281385281385E-2</v>
      </c>
      <c r="F407" s="12">
        <f t="shared" si="19"/>
        <v>2.5952464173365941E-2</v>
      </c>
      <c r="G407" s="12">
        <f t="shared" si="19"/>
        <v>7.0938215102974933E-2</v>
      </c>
    </row>
    <row r="408" spans="1:7" x14ac:dyDescent="0.3">
      <c r="A408" t="s">
        <v>442</v>
      </c>
      <c r="B408">
        <v>453.96</v>
      </c>
      <c r="C408">
        <v>234.4</v>
      </c>
      <c r="D408">
        <v>128.44</v>
      </c>
      <c r="E408" s="12">
        <f t="shared" si="19"/>
        <v>9.8772023491724426E-3</v>
      </c>
      <c r="F408" s="12">
        <f t="shared" si="19"/>
        <v>-1.7886040371347667E-3</v>
      </c>
      <c r="G408" s="12">
        <f t="shared" si="19"/>
        <v>1.6460905349794164E-2</v>
      </c>
    </row>
    <row r="409" spans="1:7" x14ac:dyDescent="0.3">
      <c r="A409" t="s">
        <v>443</v>
      </c>
      <c r="B409">
        <v>453.55</v>
      </c>
      <c r="C409">
        <v>230.54</v>
      </c>
      <c r="D409">
        <v>129.24</v>
      </c>
      <c r="E409" s="12">
        <f t="shared" si="19"/>
        <v>-9.0316327429718068E-4</v>
      </c>
      <c r="F409" s="12">
        <f t="shared" si="19"/>
        <v>-1.646757679180888E-2</v>
      </c>
      <c r="G409" s="12">
        <f t="shared" si="19"/>
        <v>6.228589224540837E-3</v>
      </c>
    </row>
    <row r="410" spans="1:7" x14ac:dyDescent="0.3">
      <c r="A410" t="s">
        <v>444</v>
      </c>
      <c r="B410">
        <v>454.7</v>
      </c>
      <c r="C410">
        <v>227.57</v>
      </c>
      <c r="D410">
        <v>127.4</v>
      </c>
      <c r="E410" s="12">
        <f t="shared" si="19"/>
        <v>2.5355528607651223E-3</v>
      </c>
      <c r="F410" s="12">
        <f t="shared" si="19"/>
        <v>-1.2882796911598882E-2</v>
      </c>
      <c r="G410" s="12">
        <f t="shared" si="19"/>
        <v>-1.4237078303930728E-2</v>
      </c>
    </row>
    <row r="411" spans="1:7" x14ac:dyDescent="0.3">
      <c r="A411" t="s">
        <v>445</v>
      </c>
      <c r="B411">
        <v>466.25</v>
      </c>
      <c r="C411">
        <v>232.98</v>
      </c>
      <c r="D411">
        <v>134.91</v>
      </c>
      <c r="E411" s="12">
        <f t="shared" si="19"/>
        <v>2.5401363536397659E-2</v>
      </c>
      <c r="F411" s="12">
        <f t="shared" si="19"/>
        <v>2.3772905040207348E-2</v>
      </c>
      <c r="G411" s="12">
        <f t="shared" si="19"/>
        <v>5.8948194662480358E-2</v>
      </c>
    </row>
    <row r="412" spans="1:7" x14ac:dyDescent="0.3">
      <c r="A412" t="s">
        <v>446</v>
      </c>
      <c r="B412">
        <v>459.54</v>
      </c>
      <c r="C412">
        <v>228.68</v>
      </c>
      <c r="D412">
        <v>131.38</v>
      </c>
      <c r="E412" s="12">
        <f t="shared" si="19"/>
        <v>-1.4391420911528119E-2</v>
      </c>
      <c r="F412" s="12">
        <f t="shared" si="19"/>
        <v>-1.8456519872950383E-2</v>
      </c>
      <c r="G412" s="12">
        <f t="shared" si="19"/>
        <v>-2.6165591876065486E-2</v>
      </c>
    </row>
    <row r="413" spans="1:7" x14ac:dyDescent="0.3">
      <c r="A413" t="s">
        <v>447</v>
      </c>
      <c r="B413">
        <v>466.24</v>
      </c>
      <c r="C413">
        <v>227.82</v>
      </c>
      <c r="D413">
        <v>128.19999999999999</v>
      </c>
      <c r="E413" s="12">
        <f t="shared" si="19"/>
        <v>1.4579797188492893E-2</v>
      </c>
      <c r="F413" s="12">
        <f t="shared" si="19"/>
        <v>-3.7607136610110503E-3</v>
      </c>
      <c r="G413" s="12">
        <f t="shared" si="19"/>
        <v>-2.4204597351195067E-2</v>
      </c>
    </row>
    <row r="414" spans="1:7" x14ac:dyDescent="0.3">
      <c r="A414" t="s">
        <v>448</v>
      </c>
      <c r="B414">
        <v>467.56</v>
      </c>
      <c r="C414">
        <v>226.34</v>
      </c>
      <c r="D414">
        <v>125.83</v>
      </c>
      <c r="E414" s="12">
        <f t="shared" si="19"/>
        <v>2.8311599176389368E-3</v>
      </c>
      <c r="F414" s="12">
        <f t="shared" si="19"/>
        <v>-6.4963567728908433E-3</v>
      </c>
      <c r="G414" s="12">
        <f t="shared" si="19"/>
        <v>-1.8486739469578684E-2</v>
      </c>
    </row>
    <row r="415" spans="1:7" x14ac:dyDescent="0.3">
      <c r="A415" t="s">
        <v>449</v>
      </c>
      <c r="B415">
        <v>460.77</v>
      </c>
      <c r="C415">
        <v>221.55</v>
      </c>
      <c r="D415">
        <v>128.28</v>
      </c>
      <c r="E415" s="12">
        <f t="shared" si="19"/>
        <v>-1.4522200359312176E-2</v>
      </c>
      <c r="F415" s="12">
        <f t="shared" si="19"/>
        <v>-2.1162852346028105E-2</v>
      </c>
      <c r="G415" s="12">
        <f t="shared" si="19"/>
        <v>1.9470714456012006E-2</v>
      </c>
    </row>
    <row r="416" spans="1:7" x14ac:dyDescent="0.3">
      <c r="A416" t="s">
        <v>450</v>
      </c>
      <c r="B416">
        <v>459.28</v>
      </c>
      <c r="C416">
        <v>220.27</v>
      </c>
      <c r="D416">
        <v>122.67</v>
      </c>
      <c r="E416" s="12">
        <f t="shared" si="19"/>
        <v>-3.2337174729257789E-3</v>
      </c>
      <c r="F416" s="12">
        <f t="shared" si="19"/>
        <v>-5.7774768675242782E-3</v>
      </c>
      <c r="G416" s="12">
        <f t="shared" si="19"/>
        <v>-4.3732460243217974E-2</v>
      </c>
    </row>
    <row r="417" spans="1:7" x14ac:dyDescent="0.3">
      <c r="A417" t="s">
        <v>451</v>
      </c>
      <c r="B417">
        <v>456.73</v>
      </c>
      <c r="C417">
        <v>216.75</v>
      </c>
      <c r="D417">
        <v>124.3</v>
      </c>
      <c r="E417" s="12">
        <f t="shared" si="19"/>
        <v>-5.552168611740016E-3</v>
      </c>
      <c r="F417" s="12">
        <f t="shared" si="19"/>
        <v>-1.598038770599719E-2</v>
      </c>
      <c r="G417" s="12">
        <f t="shared" si="19"/>
        <v>1.328768239993483E-2</v>
      </c>
    </row>
    <row r="418" spans="1:7" x14ac:dyDescent="0.3">
      <c r="A418" t="s">
        <v>452</v>
      </c>
      <c r="B418">
        <v>446.95</v>
      </c>
      <c r="C418">
        <v>210.62</v>
      </c>
      <c r="D418">
        <v>123.54</v>
      </c>
      <c r="E418" s="12">
        <f t="shared" si="19"/>
        <v>-2.1413088695728444E-2</v>
      </c>
      <c r="F418" s="12">
        <f t="shared" si="19"/>
        <v>-2.828143021914642E-2</v>
      </c>
      <c r="G418" s="12">
        <f t="shared" si="19"/>
        <v>-6.1142397425582029E-3</v>
      </c>
    </row>
    <row r="419" spans="1:7" x14ac:dyDescent="0.3">
      <c r="A419" t="s">
        <v>453</v>
      </c>
      <c r="B419">
        <v>452.85</v>
      </c>
      <c r="C419">
        <v>214.1</v>
      </c>
      <c r="D419">
        <v>123.99</v>
      </c>
      <c r="E419" s="12">
        <f t="shared" si="19"/>
        <v>1.3200581720550497E-2</v>
      </c>
      <c r="F419" s="12">
        <f t="shared" si="19"/>
        <v>1.652264742189713E-2</v>
      </c>
      <c r="G419" s="12">
        <f t="shared" si="19"/>
        <v>3.6425449247206032E-3</v>
      </c>
    </row>
    <row r="420" spans="1:7" x14ac:dyDescent="0.3">
      <c r="A420" t="s">
        <v>454</v>
      </c>
      <c r="B420">
        <v>452.16</v>
      </c>
      <c r="C420">
        <v>213.25</v>
      </c>
      <c r="D420">
        <v>126.4</v>
      </c>
      <c r="E420" s="12">
        <f t="shared" si="19"/>
        <v>-1.5236833388538873E-3</v>
      </c>
      <c r="F420" s="12">
        <f t="shared" si="19"/>
        <v>-3.9701074264362202E-3</v>
      </c>
      <c r="G420" s="12">
        <f t="shared" si="19"/>
        <v>1.9437051375110981E-2</v>
      </c>
    </row>
    <row r="421" spans="1:7" x14ac:dyDescent="0.3">
      <c r="A421" t="s">
        <v>455</v>
      </c>
      <c r="B421">
        <v>450.95</v>
      </c>
      <c r="C421">
        <v>209.07</v>
      </c>
      <c r="D421">
        <v>126.09</v>
      </c>
      <c r="E421" s="12">
        <f t="shared" si="19"/>
        <v>-2.6760438782732487E-3</v>
      </c>
      <c r="F421" s="12">
        <f t="shared" si="19"/>
        <v>-1.9601406799531151E-2</v>
      </c>
      <c r="G421" s="12">
        <f t="shared" si="19"/>
        <v>-2.4525316455696888E-3</v>
      </c>
    </row>
    <row r="422" spans="1:7" x14ac:dyDescent="0.3">
      <c r="A422" t="s">
        <v>456</v>
      </c>
      <c r="B422">
        <v>447.67</v>
      </c>
      <c r="C422">
        <v>208.14</v>
      </c>
      <c r="D422">
        <v>118.11</v>
      </c>
      <c r="E422" s="12">
        <f t="shared" si="19"/>
        <v>-7.2735336511807747E-3</v>
      </c>
      <c r="F422" s="12">
        <f t="shared" si="19"/>
        <v>-4.4482709140479804E-3</v>
      </c>
      <c r="G422" s="12">
        <f t="shared" si="19"/>
        <v>-6.3288127527956206E-2</v>
      </c>
    </row>
    <row r="423" spans="1:7" x14ac:dyDescent="0.3">
      <c r="A423" t="s">
        <v>457</v>
      </c>
      <c r="B423">
        <v>449.78</v>
      </c>
      <c r="C423">
        <v>207.49</v>
      </c>
      <c r="D423">
        <v>126.57</v>
      </c>
      <c r="E423" s="12">
        <f t="shared" si="19"/>
        <v>4.7132932740634459E-3</v>
      </c>
      <c r="F423" s="12">
        <f t="shared" si="19"/>
        <v>-3.1228980493896996E-3</v>
      </c>
      <c r="G423" s="12">
        <f t="shared" si="19"/>
        <v>7.1628143256286414E-2</v>
      </c>
    </row>
    <row r="424" spans="1:7" x14ac:dyDescent="0.3">
      <c r="A424" t="s">
        <v>458</v>
      </c>
      <c r="B424">
        <v>445.7</v>
      </c>
      <c r="C424">
        <v>209.68</v>
      </c>
      <c r="D424">
        <v>130.78</v>
      </c>
      <c r="E424" s="12">
        <f t="shared" si="19"/>
        <v>-9.0711014273644475E-3</v>
      </c>
      <c r="F424" s="12">
        <f t="shared" si="19"/>
        <v>1.05547255289411E-2</v>
      </c>
      <c r="G424" s="12">
        <f t="shared" si="19"/>
        <v>3.3262226435964326E-2</v>
      </c>
    </row>
    <row r="425" spans="1:7" x14ac:dyDescent="0.3">
      <c r="A425" t="s">
        <v>459</v>
      </c>
      <c r="B425">
        <v>446.34</v>
      </c>
      <c r="C425">
        <v>214.29</v>
      </c>
      <c r="D425">
        <v>135.58000000000001</v>
      </c>
      <c r="E425" s="12">
        <f t="shared" si="19"/>
        <v>1.4359434597261966E-3</v>
      </c>
      <c r="F425" s="12">
        <f t="shared" si="19"/>
        <v>2.1985883250667637E-2</v>
      </c>
      <c r="G425" s="12">
        <f t="shared" si="19"/>
        <v>3.6702859764490059E-2</v>
      </c>
    </row>
    <row r="426" spans="1:7" x14ac:dyDescent="0.3">
      <c r="A426" t="s">
        <v>460</v>
      </c>
      <c r="B426">
        <v>448.37</v>
      </c>
      <c r="C426">
        <v>216.67</v>
      </c>
      <c r="D426">
        <v>130.97999999999999</v>
      </c>
      <c r="E426" s="12">
        <f t="shared" si="19"/>
        <v>4.5481023435050005E-3</v>
      </c>
      <c r="F426" s="12">
        <f t="shared" si="19"/>
        <v>1.1106444537775984E-2</v>
      </c>
      <c r="G426" s="12">
        <f t="shared" si="19"/>
        <v>-3.3928308010031105E-2</v>
      </c>
    </row>
    <row r="427" spans="1:7" x14ac:dyDescent="0.3">
      <c r="A427" t="s">
        <v>461</v>
      </c>
      <c r="B427">
        <v>442.57</v>
      </c>
      <c r="C427">
        <v>212.49</v>
      </c>
      <c r="D427">
        <v>131.88</v>
      </c>
      <c r="E427" s="12">
        <f t="shared" si="19"/>
        <v>-1.2935745032004897E-2</v>
      </c>
      <c r="F427" s="12">
        <f t="shared" si="19"/>
        <v>-1.9292010892140055E-2</v>
      </c>
      <c r="G427" s="12">
        <f t="shared" si="19"/>
        <v>6.8712780577186994E-3</v>
      </c>
    </row>
    <row r="428" spans="1:7" x14ac:dyDescent="0.3">
      <c r="A428" t="s">
        <v>462</v>
      </c>
      <c r="B428">
        <v>441.58</v>
      </c>
      <c r="C428">
        <v>214.24</v>
      </c>
      <c r="D428">
        <v>129.61000000000001</v>
      </c>
      <c r="E428" s="12">
        <f t="shared" si="19"/>
        <v>-2.2369342702849293E-3</v>
      </c>
      <c r="F428" s="12">
        <f t="shared" si="19"/>
        <v>8.2356816791377963E-3</v>
      </c>
      <c r="G428" s="12">
        <f t="shared" si="19"/>
        <v>-1.7212617531088714E-2</v>
      </c>
    </row>
    <row r="429" spans="1:7" x14ac:dyDescent="0.3">
      <c r="A429" t="s">
        <v>463</v>
      </c>
      <c r="B429">
        <v>441.06</v>
      </c>
      <c r="C429">
        <v>213.07</v>
      </c>
      <c r="D429">
        <v>125.2</v>
      </c>
      <c r="E429" s="12">
        <f t="shared" si="19"/>
        <v>-1.1775895647447854E-3</v>
      </c>
      <c r="F429" s="12">
        <f t="shared" si="19"/>
        <v>-5.4611650485437702E-3</v>
      </c>
      <c r="G429" s="12">
        <f t="shared" si="19"/>
        <v>-3.4025152380217638E-2</v>
      </c>
    </row>
    <row r="430" spans="1:7" x14ac:dyDescent="0.3">
      <c r="A430" t="s">
        <v>464</v>
      </c>
      <c r="B430">
        <v>432.68</v>
      </c>
      <c r="C430">
        <v>207.15</v>
      </c>
      <c r="D430">
        <v>120.91</v>
      </c>
      <c r="E430" s="12">
        <f t="shared" si="19"/>
        <v>-1.8999682582868549E-2</v>
      </c>
      <c r="F430" s="12">
        <f t="shared" si="19"/>
        <v>-2.7784296240672024E-2</v>
      </c>
      <c r="G430" s="12">
        <f t="shared" si="19"/>
        <v>-3.4265175718849905E-2</v>
      </c>
    </row>
    <row r="431" spans="1:7" x14ac:dyDescent="0.3">
      <c r="A431" t="s">
        <v>465</v>
      </c>
      <c r="B431">
        <v>427.87</v>
      </c>
      <c r="C431">
        <v>193.12</v>
      </c>
      <c r="D431">
        <v>121.79</v>
      </c>
      <c r="E431" s="12">
        <f t="shared" si="19"/>
        <v>-1.1116760654525271E-2</v>
      </c>
      <c r="F431" s="12">
        <f t="shared" si="19"/>
        <v>-6.7728699010378923E-2</v>
      </c>
      <c r="G431" s="12">
        <f t="shared" si="19"/>
        <v>7.2781407658590869E-3</v>
      </c>
    </row>
    <row r="432" spans="1:7" x14ac:dyDescent="0.3">
      <c r="A432" t="s">
        <v>466</v>
      </c>
      <c r="B432">
        <v>423.85</v>
      </c>
      <c r="C432">
        <v>196.89</v>
      </c>
      <c r="D432">
        <v>120.89</v>
      </c>
      <c r="E432" s="12">
        <f t="shared" si="19"/>
        <v>-9.395377100521185E-3</v>
      </c>
      <c r="F432" s="12">
        <f t="shared" si="19"/>
        <v>1.9521541010770305E-2</v>
      </c>
      <c r="G432" s="12">
        <f t="shared" si="19"/>
        <v>-7.3897692749815835E-3</v>
      </c>
    </row>
    <row r="433" spans="1:7" x14ac:dyDescent="0.3">
      <c r="A433" t="s">
        <v>467</v>
      </c>
      <c r="B433">
        <v>424.52</v>
      </c>
      <c r="C433">
        <v>194.48</v>
      </c>
      <c r="D433">
        <v>121</v>
      </c>
      <c r="E433" s="12">
        <f t="shared" si="19"/>
        <v>1.580747906098745E-3</v>
      </c>
      <c r="F433" s="12">
        <f t="shared" si="19"/>
        <v>-1.2240337244146415E-2</v>
      </c>
      <c r="G433" s="12">
        <f t="shared" si="19"/>
        <v>9.0991810737039991E-4</v>
      </c>
    </row>
    <row r="434" spans="1:7" x14ac:dyDescent="0.3">
      <c r="A434" t="s">
        <v>468</v>
      </c>
      <c r="B434">
        <v>424.01</v>
      </c>
      <c r="C434">
        <v>195.87</v>
      </c>
      <c r="D434">
        <v>122.44</v>
      </c>
      <c r="E434" s="12">
        <f t="shared" si="19"/>
        <v>-1.2013568265334396E-3</v>
      </c>
      <c r="F434" s="12">
        <f t="shared" si="19"/>
        <v>7.1472645002057522E-3</v>
      </c>
      <c r="G434" s="12">
        <f t="shared" si="19"/>
        <v>1.1900826446280988E-2</v>
      </c>
    </row>
    <row r="435" spans="1:7" x14ac:dyDescent="0.3">
      <c r="A435" t="s">
        <v>469</v>
      </c>
      <c r="B435">
        <v>416.07</v>
      </c>
      <c r="C435">
        <v>194.35</v>
      </c>
      <c r="D435">
        <v>116.44</v>
      </c>
      <c r="E435" s="12">
        <f t="shared" si="19"/>
        <v>-1.8725973444022492E-2</v>
      </c>
      <c r="F435" s="12">
        <f t="shared" si="19"/>
        <v>-7.7602491448409694E-3</v>
      </c>
      <c r="G435" s="12">
        <f t="shared" si="19"/>
        <v>-4.9003593596863793E-2</v>
      </c>
    </row>
    <row r="436" spans="1:7" x14ac:dyDescent="0.3">
      <c r="A436" t="s">
        <v>470</v>
      </c>
      <c r="B436">
        <v>413.52</v>
      </c>
      <c r="C436">
        <v>194.03</v>
      </c>
      <c r="D436">
        <v>115</v>
      </c>
      <c r="E436" s="12">
        <f t="shared" si="19"/>
        <v>-6.1287764078160611E-3</v>
      </c>
      <c r="F436" s="12">
        <f t="shared" si="19"/>
        <v>-1.6465140210959461E-3</v>
      </c>
      <c r="G436" s="12">
        <f t="shared" si="19"/>
        <v>-1.2366884232222541E-2</v>
      </c>
    </row>
    <row r="437" spans="1:7" x14ac:dyDescent="0.3">
      <c r="A437" t="s">
        <v>471</v>
      </c>
      <c r="B437">
        <v>415.13</v>
      </c>
      <c r="C437">
        <v>192.25</v>
      </c>
      <c r="D437">
        <v>109.63</v>
      </c>
      <c r="E437" s="12">
        <f t="shared" si="19"/>
        <v>3.8934029792996316E-3</v>
      </c>
      <c r="F437" s="12">
        <f t="shared" si="19"/>
        <v>-9.173839097046832E-3</v>
      </c>
      <c r="G437" s="12">
        <f t="shared" si="19"/>
        <v>-4.6695652173913138E-2</v>
      </c>
    </row>
    <row r="438" spans="1:7" x14ac:dyDescent="0.3">
      <c r="A438" t="s">
        <v>472</v>
      </c>
      <c r="B438">
        <v>414.67</v>
      </c>
      <c r="C438">
        <v>191.29</v>
      </c>
      <c r="D438">
        <v>110.5</v>
      </c>
      <c r="E438" s="12">
        <f t="shared" si="19"/>
        <v>-1.1080866234672859E-3</v>
      </c>
      <c r="F438" s="12">
        <f t="shared" si="19"/>
        <v>-4.9934980494148462E-3</v>
      </c>
      <c r="G438" s="12">
        <f t="shared" si="19"/>
        <v>7.9357840007296954E-3</v>
      </c>
    </row>
    <row r="439" spans="1:7" x14ac:dyDescent="0.3">
      <c r="A439" t="s">
        <v>473</v>
      </c>
      <c r="B439">
        <v>429.17</v>
      </c>
      <c r="C439">
        <v>190.29</v>
      </c>
      <c r="D439">
        <v>114.82</v>
      </c>
      <c r="E439" s="12">
        <f t="shared" si="19"/>
        <v>3.4967564569416743E-2</v>
      </c>
      <c r="F439" s="12">
        <f t="shared" si="19"/>
        <v>-5.2276648021328809E-3</v>
      </c>
      <c r="G439" s="12">
        <f t="shared" si="19"/>
        <v>3.9095022624434428E-2</v>
      </c>
    </row>
    <row r="440" spans="1:7" x14ac:dyDescent="0.3">
      <c r="A440" t="s">
        <v>474</v>
      </c>
      <c r="B440">
        <v>430.32</v>
      </c>
      <c r="C440">
        <v>189.99</v>
      </c>
      <c r="D440">
        <v>113.9</v>
      </c>
      <c r="E440" s="12">
        <f t="shared" si="19"/>
        <v>2.6795908381294087E-3</v>
      </c>
      <c r="F440" s="12">
        <f t="shared" si="19"/>
        <v>-1.5765410688947101E-3</v>
      </c>
      <c r="G440" s="12">
        <f t="shared" si="19"/>
        <v>-8.0125413690993463E-3</v>
      </c>
    </row>
    <row r="441" spans="1:7" x14ac:dyDescent="0.3">
      <c r="A441" t="s">
        <v>475</v>
      </c>
      <c r="B441">
        <v>430.16</v>
      </c>
      <c r="C441">
        <v>189.98</v>
      </c>
      <c r="D441">
        <v>106.47</v>
      </c>
      <c r="E441" s="12">
        <f t="shared" si="19"/>
        <v>-3.7181632273652898E-4</v>
      </c>
      <c r="F441" s="12">
        <f t="shared" si="19"/>
        <v>-5.2634349176350348E-5</v>
      </c>
      <c r="G441" s="12">
        <f t="shared" si="19"/>
        <v>-6.5232660228270456E-2</v>
      </c>
    </row>
    <row r="442" spans="1:7" x14ac:dyDescent="0.3">
      <c r="A442" t="s">
        <v>476</v>
      </c>
      <c r="B442">
        <v>427</v>
      </c>
      <c r="C442">
        <v>186.88</v>
      </c>
      <c r="D442">
        <v>103.8</v>
      </c>
      <c r="E442" s="12">
        <f t="shared" si="19"/>
        <v>-7.3461037753395075E-3</v>
      </c>
      <c r="F442" s="12">
        <f t="shared" si="19"/>
        <v>-1.6317507106011098E-2</v>
      </c>
      <c r="G442" s="12">
        <f t="shared" si="19"/>
        <v>-2.5077486615948219E-2</v>
      </c>
    </row>
    <row r="443" spans="1:7" x14ac:dyDescent="0.3">
      <c r="A443" t="s">
        <v>477</v>
      </c>
      <c r="B443">
        <v>430.52</v>
      </c>
      <c r="C443">
        <v>190.9</v>
      </c>
      <c r="D443">
        <v>94.95</v>
      </c>
      <c r="E443" s="12">
        <f t="shared" si="19"/>
        <v>8.2435597189696175E-3</v>
      </c>
      <c r="F443" s="12">
        <f t="shared" si="19"/>
        <v>2.1511130136986356E-2</v>
      </c>
      <c r="G443" s="12">
        <f t="shared" si="19"/>
        <v>-8.526011560693636E-2</v>
      </c>
    </row>
    <row r="444" spans="1:7" x14ac:dyDescent="0.3">
      <c r="A444" t="s">
        <v>478</v>
      </c>
      <c r="B444">
        <v>429.04</v>
      </c>
      <c r="C444">
        <v>192.35</v>
      </c>
      <c r="D444">
        <v>95.39</v>
      </c>
      <c r="E444" s="12">
        <f t="shared" si="19"/>
        <v>-3.4377032425902954E-3</v>
      </c>
      <c r="F444" s="12">
        <f t="shared" si="19"/>
        <v>7.5955997904662009E-3</v>
      </c>
      <c r="G444" s="12">
        <f t="shared" si="19"/>
        <v>4.6340179041599594E-3</v>
      </c>
    </row>
    <row r="445" spans="1:7" x14ac:dyDescent="0.3">
      <c r="A445" t="s">
        <v>479</v>
      </c>
      <c r="B445">
        <v>425.34</v>
      </c>
      <c r="C445">
        <v>191.04</v>
      </c>
      <c r="D445">
        <v>94.78</v>
      </c>
      <c r="E445" s="12">
        <f t="shared" si="19"/>
        <v>-8.6239045310461115E-3</v>
      </c>
      <c r="F445" s="12">
        <f t="shared" si="19"/>
        <v>-6.8105016896282677E-3</v>
      </c>
      <c r="G445" s="12">
        <f t="shared" si="19"/>
        <v>-6.3948002935317882E-3</v>
      </c>
    </row>
    <row r="446" spans="1:7" x14ac:dyDescent="0.3">
      <c r="A446" t="s">
        <v>480</v>
      </c>
      <c r="B446">
        <v>420.21</v>
      </c>
      <c r="C446">
        <v>189.87</v>
      </c>
      <c r="D446">
        <v>92.48</v>
      </c>
      <c r="E446" s="12">
        <f t="shared" si="19"/>
        <v>-1.2060939483707123E-2</v>
      </c>
      <c r="F446" s="12">
        <f t="shared" si="19"/>
        <v>-6.1243718592963736E-3</v>
      </c>
      <c r="G446" s="12">
        <f t="shared" si="19"/>
        <v>-2.4266722937328566E-2</v>
      </c>
    </row>
    <row r="447" spans="1:7" x14ac:dyDescent="0.3">
      <c r="A447" t="s">
        <v>481</v>
      </c>
      <c r="B447">
        <v>420.99</v>
      </c>
      <c r="C447">
        <v>189.84</v>
      </c>
      <c r="D447">
        <v>94.36</v>
      </c>
      <c r="E447" s="12">
        <f t="shared" si="19"/>
        <v>1.8562147497680481E-3</v>
      </c>
      <c r="F447" s="12">
        <f t="shared" si="19"/>
        <v>-1.5800284405120824E-4</v>
      </c>
      <c r="G447" s="12">
        <f t="shared" si="19"/>
        <v>2.0328719723183397E-2</v>
      </c>
    </row>
    <row r="448" spans="1:7" x14ac:dyDescent="0.3">
      <c r="A448" t="s">
        <v>482</v>
      </c>
      <c r="B448">
        <v>423.08</v>
      </c>
      <c r="C448">
        <v>189.72</v>
      </c>
      <c r="D448">
        <v>94.63</v>
      </c>
      <c r="E448" s="12">
        <f t="shared" si="19"/>
        <v>4.9644884676594003E-3</v>
      </c>
      <c r="F448" s="12">
        <f t="shared" si="19"/>
        <v>-6.3211125158024739E-4</v>
      </c>
      <c r="G448" s="12">
        <f t="shared" si="19"/>
        <v>2.8613819415006514E-3</v>
      </c>
    </row>
    <row r="449" spans="1:7" x14ac:dyDescent="0.3">
      <c r="A449" t="s">
        <v>483</v>
      </c>
      <c r="B449">
        <v>416.56</v>
      </c>
      <c r="C449">
        <v>187.43</v>
      </c>
      <c r="D449">
        <v>91.36</v>
      </c>
      <c r="E449" s="12">
        <f t="shared" si="19"/>
        <v>-1.5410797012385347E-2</v>
      </c>
      <c r="F449" s="12">
        <f t="shared" si="19"/>
        <v>-1.2070419565675672E-2</v>
      </c>
      <c r="G449" s="12">
        <f t="shared" si="19"/>
        <v>-3.4555637747014645E-2</v>
      </c>
    </row>
    <row r="450" spans="1:7" x14ac:dyDescent="0.3">
      <c r="A450" t="s">
        <v>484</v>
      </c>
      <c r="B450">
        <v>413.72</v>
      </c>
      <c r="C450">
        <v>186.28</v>
      </c>
      <c r="D450">
        <v>90.4</v>
      </c>
      <c r="E450" s="12">
        <f t="shared" si="19"/>
        <v>-6.8177453428076573E-3</v>
      </c>
      <c r="F450" s="12">
        <f t="shared" si="19"/>
        <v>-6.1356239662807566E-3</v>
      </c>
      <c r="G450" s="12">
        <f t="shared" si="19"/>
        <v>-1.0507880910682998E-2</v>
      </c>
    </row>
    <row r="451" spans="1:7" x14ac:dyDescent="0.3">
      <c r="A451" t="s">
        <v>485</v>
      </c>
      <c r="B451">
        <v>414.74</v>
      </c>
      <c r="C451">
        <v>183.05</v>
      </c>
      <c r="D451">
        <v>89.88</v>
      </c>
      <c r="E451" s="12">
        <f t="shared" si="19"/>
        <v>2.4654355602822253E-3</v>
      </c>
      <c r="F451" s="12">
        <f t="shared" si="19"/>
        <v>-1.7339488941378489E-2</v>
      </c>
      <c r="G451" s="12">
        <f t="shared" si="19"/>
        <v>-5.7522123893806176E-3</v>
      </c>
    </row>
    <row r="452" spans="1:7" x14ac:dyDescent="0.3">
      <c r="A452" t="s">
        <v>486</v>
      </c>
      <c r="B452">
        <v>412.32</v>
      </c>
      <c r="C452">
        <v>184.57</v>
      </c>
      <c r="D452">
        <v>88.75</v>
      </c>
      <c r="E452" s="12">
        <f t="shared" ref="E452:G515" si="20">B452/B451-1</f>
        <v>-5.8349809519216977E-3</v>
      </c>
      <c r="F452" s="12">
        <f t="shared" si="20"/>
        <v>8.3037421469542849E-3</v>
      </c>
      <c r="G452" s="12">
        <f t="shared" si="20"/>
        <v>-1.2572318647084968E-2</v>
      </c>
    </row>
    <row r="453" spans="1:7" x14ac:dyDescent="0.3">
      <c r="A453" t="s">
        <v>487</v>
      </c>
      <c r="B453">
        <v>410.54</v>
      </c>
      <c r="C453">
        <v>182.74</v>
      </c>
      <c r="D453">
        <v>90.41</v>
      </c>
      <c r="E453" s="12">
        <f t="shared" si="20"/>
        <v>-4.3170353123787031E-3</v>
      </c>
      <c r="F453" s="12">
        <f t="shared" si="20"/>
        <v>-9.9149374221161324E-3</v>
      </c>
      <c r="G453" s="12">
        <f t="shared" si="20"/>
        <v>1.870422535211258E-2</v>
      </c>
    </row>
    <row r="454" spans="1:7" x14ac:dyDescent="0.3">
      <c r="A454" t="s">
        <v>488</v>
      </c>
      <c r="B454">
        <v>409.34</v>
      </c>
      <c r="C454">
        <v>182.4</v>
      </c>
      <c r="D454">
        <v>90.55</v>
      </c>
      <c r="E454" s="12">
        <f t="shared" si="20"/>
        <v>-2.9229794904273021E-3</v>
      </c>
      <c r="F454" s="12">
        <f t="shared" si="20"/>
        <v>-1.8605669256868129E-3</v>
      </c>
      <c r="G454" s="12">
        <f t="shared" si="20"/>
        <v>1.5485012719831381E-3</v>
      </c>
    </row>
    <row r="455" spans="1:7" x14ac:dyDescent="0.3">
      <c r="A455" t="s">
        <v>489</v>
      </c>
      <c r="B455">
        <v>413.54</v>
      </c>
      <c r="C455">
        <v>181.71</v>
      </c>
      <c r="D455">
        <v>92.14</v>
      </c>
      <c r="E455" s="12">
        <f t="shared" si="20"/>
        <v>1.0260419211413518E-2</v>
      </c>
      <c r="F455" s="12">
        <f t="shared" si="20"/>
        <v>-3.782894736842124E-3</v>
      </c>
      <c r="G455" s="12">
        <f t="shared" si="20"/>
        <v>1.7559359469906166E-2</v>
      </c>
    </row>
    <row r="456" spans="1:7" x14ac:dyDescent="0.3">
      <c r="A456" t="s">
        <v>490</v>
      </c>
      <c r="B456">
        <v>406.66</v>
      </c>
      <c r="C456">
        <v>183.38</v>
      </c>
      <c r="D456">
        <v>88.79</v>
      </c>
      <c r="E456" s="12">
        <f t="shared" si="20"/>
        <v>-1.6636842868888113E-2</v>
      </c>
      <c r="F456" s="12">
        <f t="shared" si="20"/>
        <v>9.1904683286554434E-3</v>
      </c>
      <c r="G456" s="12">
        <f t="shared" si="20"/>
        <v>-3.6357716518341632E-2</v>
      </c>
    </row>
    <row r="457" spans="1:7" x14ac:dyDescent="0.3">
      <c r="A457" t="s">
        <v>491</v>
      </c>
      <c r="B457">
        <v>397.84</v>
      </c>
      <c r="C457">
        <v>173.03</v>
      </c>
      <c r="D457">
        <v>85.82</v>
      </c>
      <c r="E457" s="12">
        <f t="shared" si="20"/>
        <v>-2.1688880145576239E-2</v>
      </c>
      <c r="F457" s="12">
        <f t="shared" si="20"/>
        <v>-5.6440178863562007E-2</v>
      </c>
      <c r="G457" s="12">
        <f t="shared" si="20"/>
        <v>-3.3449712805496246E-2</v>
      </c>
    </row>
    <row r="458" spans="1:7" x14ac:dyDescent="0.3">
      <c r="A458" t="s">
        <v>492</v>
      </c>
      <c r="B458">
        <v>394.94</v>
      </c>
      <c r="C458">
        <v>169.3</v>
      </c>
      <c r="D458">
        <v>83.04</v>
      </c>
      <c r="E458" s="12">
        <f t="shared" si="20"/>
        <v>-7.2893625578120957E-3</v>
      </c>
      <c r="F458" s="12">
        <f t="shared" si="20"/>
        <v>-2.1556955441252912E-2</v>
      </c>
      <c r="G458" s="12">
        <f t="shared" si="20"/>
        <v>-3.2393381496154561E-2</v>
      </c>
    </row>
    <row r="459" spans="1:7" x14ac:dyDescent="0.3">
      <c r="A459" t="s">
        <v>493</v>
      </c>
      <c r="B459">
        <v>389.33</v>
      </c>
      <c r="C459">
        <v>170.33</v>
      </c>
      <c r="D459">
        <v>86.4</v>
      </c>
      <c r="E459" s="12">
        <f t="shared" si="20"/>
        <v>-1.4204689319896713E-2</v>
      </c>
      <c r="F459" s="12">
        <f t="shared" si="20"/>
        <v>6.0838747784996983E-3</v>
      </c>
      <c r="G459" s="12">
        <f t="shared" si="20"/>
        <v>4.0462427745664664E-2</v>
      </c>
    </row>
    <row r="460" spans="1:7" x14ac:dyDescent="0.3">
      <c r="A460" t="s">
        <v>494</v>
      </c>
      <c r="B460">
        <v>402.25</v>
      </c>
      <c r="C460">
        <v>173.5</v>
      </c>
      <c r="D460">
        <v>87.76</v>
      </c>
      <c r="E460" s="12">
        <f t="shared" si="20"/>
        <v>3.3185215626846176E-2</v>
      </c>
      <c r="F460" s="12">
        <f t="shared" si="20"/>
        <v>1.8610931720777213E-2</v>
      </c>
      <c r="G460" s="12">
        <f t="shared" si="20"/>
        <v>1.5740740740740833E-2</v>
      </c>
    </row>
    <row r="461" spans="1:7" x14ac:dyDescent="0.3">
      <c r="A461" t="s">
        <v>495</v>
      </c>
      <c r="B461">
        <v>406.32</v>
      </c>
      <c r="C461">
        <v>169.3</v>
      </c>
      <c r="D461">
        <v>87.74</v>
      </c>
      <c r="E461" s="12">
        <f t="shared" si="20"/>
        <v>1.0118085767557572E-2</v>
      </c>
      <c r="F461" s="12">
        <f t="shared" si="20"/>
        <v>-2.420749279538903E-2</v>
      </c>
      <c r="G461" s="12">
        <f t="shared" si="20"/>
        <v>-2.2789425706482014E-4</v>
      </c>
    </row>
    <row r="462" spans="1:7" x14ac:dyDescent="0.3">
      <c r="A462" t="s">
        <v>496</v>
      </c>
      <c r="B462">
        <v>399.04</v>
      </c>
      <c r="C462">
        <v>169.89</v>
      </c>
      <c r="D462">
        <v>82.63</v>
      </c>
      <c r="E462" s="12">
        <f t="shared" si="20"/>
        <v>-1.7916912778105809E-2</v>
      </c>
      <c r="F462" s="12">
        <f t="shared" si="20"/>
        <v>3.4849379799171132E-3</v>
      </c>
      <c r="G462" s="12">
        <f t="shared" si="20"/>
        <v>-5.8240255299749299E-2</v>
      </c>
    </row>
    <row r="463" spans="1:7" x14ac:dyDescent="0.3">
      <c r="A463" t="s">
        <v>497</v>
      </c>
      <c r="B463">
        <v>409.06</v>
      </c>
      <c r="C463">
        <v>169.02</v>
      </c>
      <c r="D463">
        <v>79.680000000000007</v>
      </c>
      <c r="E463" s="12">
        <f t="shared" si="20"/>
        <v>2.5110264635124224E-2</v>
      </c>
      <c r="F463" s="12">
        <f t="shared" si="20"/>
        <v>-5.1209606215785186E-3</v>
      </c>
      <c r="G463" s="12">
        <f t="shared" si="20"/>
        <v>-3.5701319133486509E-2</v>
      </c>
    </row>
    <row r="464" spans="1:7" x14ac:dyDescent="0.3">
      <c r="A464" t="s">
        <v>498</v>
      </c>
      <c r="B464">
        <v>407.57</v>
      </c>
      <c r="C464">
        <v>166.9</v>
      </c>
      <c r="D464">
        <v>82.42</v>
      </c>
      <c r="E464" s="12">
        <f t="shared" si="20"/>
        <v>-3.64249743313938E-3</v>
      </c>
      <c r="F464" s="12">
        <f t="shared" si="20"/>
        <v>-1.2542894332031707E-2</v>
      </c>
      <c r="G464" s="12">
        <f t="shared" si="20"/>
        <v>3.4387550200803085E-2</v>
      </c>
    </row>
    <row r="465" spans="1:7" x14ac:dyDescent="0.3">
      <c r="A465" t="s">
        <v>499</v>
      </c>
      <c r="B465">
        <v>400.96</v>
      </c>
      <c r="C465">
        <v>165.84</v>
      </c>
      <c r="D465">
        <v>79.52</v>
      </c>
      <c r="E465" s="12">
        <f t="shared" si="20"/>
        <v>-1.6218072969060526E-2</v>
      </c>
      <c r="F465" s="12">
        <f t="shared" si="20"/>
        <v>-6.3511084481725488E-3</v>
      </c>
      <c r="G465" s="12">
        <f t="shared" si="20"/>
        <v>-3.5185634554719791E-2</v>
      </c>
    </row>
    <row r="466" spans="1:7" x14ac:dyDescent="0.3">
      <c r="A466" t="s">
        <v>500</v>
      </c>
      <c r="B466">
        <v>399.12</v>
      </c>
      <c r="C466">
        <v>165</v>
      </c>
      <c r="D466">
        <v>76.2</v>
      </c>
      <c r="E466" s="12">
        <f t="shared" si="20"/>
        <v>-4.5889864325617813E-3</v>
      </c>
      <c r="F466" s="12">
        <f t="shared" si="20"/>
        <v>-5.0651230101302902E-3</v>
      </c>
      <c r="G466" s="12">
        <f t="shared" si="20"/>
        <v>-4.1750503018108565E-2</v>
      </c>
    </row>
    <row r="467" spans="1:7" x14ac:dyDescent="0.3">
      <c r="A467" t="s">
        <v>501</v>
      </c>
      <c r="B467">
        <v>404.27</v>
      </c>
      <c r="C467">
        <v>167.04</v>
      </c>
      <c r="D467">
        <v>84.67</v>
      </c>
      <c r="E467" s="12">
        <f t="shared" si="20"/>
        <v>1.2903387452395165E-2</v>
      </c>
      <c r="F467" s="12">
        <f t="shared" si="20"/>
        <v>1.2363636363636354E-2</v>
      </c>
      <c r="G467" s="12">
        <f t="shared" si="20"/>
        <v>0.11115485564304461</v>
      </c>
    </row>
    <row r="468" spans="1:7" x14ac:dyDescent="0.3">
      <c r="A468" t="s">
        <v>502</v>
      </c>
      <c r="B468">
        <v>411.84</v>
      </c>
      <c r="C468">
        <v>168</v>
      </c>
      <c r="D468">
        <v>84.04</v>
      </c>
      <c r="E468" s="12">
        <f t="shared" si="20"/>
        <v>1.8725109456551259E-2</v>
      </c>
      <c r="F468" s="12">
        <f t="shared" si="20"/>
        <v>5.7471264367816577E-3</v>
      </c>
      <c r="G468" s="12">
        <f t="shared" si="20"/>
        <v>-7.440651942836829E-3</v>
      </c>
    </row>
    <row r="469" spans="1:7" x14ac:dyDescent="0.3">
      <c r="A469" t="s">
        <v>503</v>
      </c>
      <c r="B469">
        <v>414.58</v>
      </c>
      <c r="C469">
        <v>169.38</v>
      </c>
      <c r="D469">
        <v>87.42</v>
      </c>
      <c r="E469" s="12">
        <f t="shared" si="20"/>
        <v>6.6530691530690689E-3</v>
      </c>
      <c r="F469" s="12">
        <f t="shared" si="20"/>
        <v>8.2142857142857295E-3</v>
      </c>
      <c r="G469" s="12">
        <f t="shared" si="20"/>
        <v>4.0218943360304626E-2</v>
      </c>
    </row>
    <row r="470" spans="1:7" x14ac:dyDescent="0.3">
      <c r="A470" t="s">
        <v>504</v>
      </c>
      <c r="B470">
        <v>413.64</v>
      </c>
      <c r="C470">
        <v>172.69</v>
      </c>
      <c r="D470">
        <v>86</v>
      </c>
      <c r="E470" s="12">
        <f t="shared" si="20"/>
        <v>-2.2673549134063498E-3</v>
      </c>
      <c r="F470" s="12">
        <f t="shared" si="20"/>
        <v>1.9541858542921231E-2</v>
      </c>
      <c r="G470" s="12">
        <f t="shared" si="20"/>
        <v>-1.6243422557767118E-2</v>
      </c>
    </row>
    <row r="471" spans="1:7" x14ac:dyDescent="0.3">
      <c r="A471" t="s">
        <v>505</v>
      </c>
      <c r="B471">
        <v>421.9</v>
      </c>
      <c r="C471">
        <v>176.55</v>
      </c>
      <c r="D471">
        <v>88.19</v>
      </c>
      <c r="E471" s="12">
        <f t="shared" si="20"/>
        <v>1.996905521709702E-2</v>
      </c>
      <c r="F471" s="12">
        <f t="shared" si="20"/>
        <v>2.2352191788754583E-2</v>
      </c>
      <c r="G471" s="12">
        <f t="shared" si="20"/>
        <v>2.5465116279069777E-2</v>
      </c>
    </row>
    <row r="472" spans="1:7" x14ac:dyDescent="0.3">
      <c r="A472" t="s">
        <v>506</v>
      </c>
      <c r="B472">
        <v>427.93</v>
      </c>
      <c r="C472">
        <v>175.04</v>
      </c>
      <c r="D472">
        <v>90.62</v>
      </c>
      <c r="E472" s="12">
        <f t="shared" si="20"/>
        <v>1.429248637117797E-2</v>
      </c>
      <c r="F472" s="12">
        <f t="shared" si="20"/>
        <v>-8.5528178986123971E-3</v>
      </c>
      <c r="G472" s="12">
        <f t="shared" si="20"/>
        <v>2.7554144460823382E-2</v>
      </c>
    </row>
    <row r="473" spans="1:7" x14ac:dyDescent="0.3">
      <c r="A473" t="s">
        <v>507</v>
      </c>
      <c r="B473">
        <v>423.26</v>
      </c>
      <c r="C473">
        <v>167.78</v>
      </c>
      <c r="D473">
        <v>87.04</v>
      </c>
      <c r="E473" s="12">
        <f t="shared" si="20"/>
        <v>-1.0912999789685296E-2</v>
      </c>
      <c r="F473" s="12">
        <f t="shared" si="20"/>
        <v>-4.1476234003656298E-2</v>
      </c>
      <c r="G473" s="12">
        <f t="shared" si="20"/>
        <v>-3.9505627896711526E-2</v>
      </c>
    </row>
    <row r="474" spans="1:7" x14ac:dyDescent="0.3">
      <c r="A474" t="s">
        <v>508</v>
      </c>
      <c r="B474">
        <v>426.28</v>
      </c>
      <c r="C474">
        <v>169.67</v>
      </c>
      <c r="D474">
        <v>85.35</v>
      </c>
      <c r="E474" s="12">
        <f t="shared" si="20"/>
        <v>7.135094268298392E-3</v>
      </c>
      <c r="F474" s="12">
        <f t="shared" si="20"/>
        <v>1.1264751460245526E-2</v>
      </c>
      <c r="G474" s="12">
        <f t="shared" si="20"/>
        <v>-1.9416360294117752E-2</v>
      </c>
    </row>
    <row r="475" spans="1:7" x14ac:dyDescent="0.3">
      <c r="A475" t="s">
        <v>509</v>
      </c>
      <c r="B475">
        <v>424.59</v>
      </c>
      <c r="C475">
        <v>168.45</v>
      </c>
      <c r="D475">
        <v>87.13</v>
      </c>
      <c r="E475" s="12">
        <f t="shared" si="20"/>
        <v>-3.964530355634821E-3</v>
      </c>
      <c r="F475" s="12">
        <f t="shared" si="20"/>
        <v>-7.1904284788117945E-3</v>
      </c>
      <c r="G475" s="12">
        <f t="shared" si="20"/>
        <v>2.0855301698887052E-2</v>
      </c>
    </row>
    <row r="476" spans="1:7" x14ac:dyDescent="0.3">
      <c r="A476" t="s">
        <v>510</v>
      </c>
      <c r="B476">
        <v>425.52</v>
      </c>
      <c r="C476">
        <v>169.58</v>
      </c>
      <c r="D476">
        <v>88.01</v>
      </c>
      <c r="E476" s="12">
        <f t="shared" si="20"/>
        <v>2.1903483360419251E-3</v>
      </c>
      <c r="F476" s="12">
        <f t="shared" si="20"/>
        <v>6.7082220243397384E-3</v>
      </c>
      <c r="G476" s="12">
        <f t="shared" si="20"/>
        <v>1.0099850797658849E-2</v>
      </c>
    </row>
    <row r="477" spans="1:7" x14ac:dyDescent="0.3">
      <c r="A477" t="s">
        <v>511</v>
      </c>
      <c r="B477">
        <v>417.88</v>
      </c>
      <c r="C477">
        <v>168.82</v>
      </c>
      <c r="D477">
        <v>85.9</v>
      </c>
      <c r="E477" s="12">
        <f t="shared" si="20"/>
        <v>-1.7954502726076349E-2</v>
      </c>
      <c r="F477" s="12">
        <f t="shared" si="20"/>
        <v>-4.4816605731808901E-3</v>
      </c>
      <c r="G477" s="12">
        <f t="shared" si="20"/>
        <v>-2.3974548346778812E-2</v>
      </c>
    </row>
    <row r="478" spans="1:7" x14ac:dyDescent="0.3">
      <c r="A478" t="s">
        <v>512</v>
      </c>
      <c r="B478">
        <v>420.45</v>
      </c>
      <c r="C478">
        <v>169.65</v>
      </c>
      <c r="D478">
        <v>88.96</v>
      </c>
      <c r="E478" s="12">
        <f t="shared" si="20"/>
        <v>6.1500909351965838E-3</v>
      </c>
      <c r="F478" s="12">
        <f t="shared" si="20"/>
        <v>4.9164790901552458E-3</v>
      </c>
      <c r="G478" s="12">
        <f t="shared" si="20"/>
        <v>3.5622817229336246E-2</v>
      </c>
    </row>
    <row r="479" spans="1:7" x14ac:dyDescent="0.3">
      <c r="A479" t="s">
        <v>513</v>
      </c>
      <c r="B479">
        <v>421.44</v>
      </c>
      <c r="C479">
        <v>168.84</v>
      </c>
      <c r="D479">
        <v>89.45</v>
      </c>
      <c r="E479" s="12">
        <f t="shared" si="20"/>
        <v>2.3546200499464653E-3</v>
      </c>
      <c r="F479" s="12">
        <f t="shared" si="20"/>
        <v>-4.774535809018543E-3</v>
      </c>
      <c r="G479" s="12">
        <f t="shared" si="20"/>
        <v>5.5080935251798913E-3</v>
      </c>
    </row>
    <row r="480" spans="1:7" x14ac:dyDescent="0.3">
      <c r="A480" t="s">
        <v>514</v>
      </c>
      <c r="B480">
        <v>424.57</v>
      </c>
      <c r="C480">
        <v>170.03</v>
      </c>
      <c r="D480">
        <v>90.36</v>
      </c>
      <c r="E480" s="12">
        <f t="shared" si="20"/>
        <v>7.4269172361427493E-3</v>
      </c>
      <c r="F480" s="12">
        <f t="shared" si="20"/>
        <v>7.0480928689884426E-3</v>
      </c>
      <c r="G480" s="12">
        <f t="shared" si="20"/>
        <v>1.0173281162660697E-2</v>
      </c>
    </row>
    <row r="481" spans="1:7" x14ac:dyDescent="0.3">
      <c r="A481" t="s">
        <v>515</v>
      </c>
      <c r="B481">
        <v>420.72</v>
      </c>
      <c r="C481">
        <v>171.48</v>
      </c>
      <c r="D481">
        <v>90.36</v>
      </c>
      <c r="E481" s="12">
        <f t="shared" si="20"/>
        <v>-9.0679982099535206E-3</v>
      </c>
      <c r="F481" s="12">
        <f t="shared" si="20"/>
        <v>8.5279068399692903E-3</v>
      </c>
      <c r="G481" s="12">
        <f t="shared" si="20"/>
        <v>0</v>
      </c>
    </row>
    <row r="482" spans="1:7" x14ac:dyDescent="0.3">
      <c r="A482" t="s">
        <v>516</v>
      </c>
      <c r="B482">
        <v>421.43</v>
      </c>
      <c r="C482">
        <v>173.31</v>
      </c>
      <c r="D482">
        <v>90.25</v>
      </c>
      <c r="E482" s="12">
        <f t="shared" si="20"/>
        <v>1.6875831907205985E-3</v>
      </c>
      <c r="F482" s="12">
        <f t="shared" si="20"/>
        <v>1.0671798460461845E-2</v>
      </c>
      <c r="G482" s="12">
        <f t="shared" si="20"/>
        <v>-1.2173528109783449E-3</v>
      </c>
    </row>
    <row r="483" spans="1:7" x14ac:dyDescent="0.3">
      <c r="A483" t="s">
        <v>517</v>
      </c>
      <c r="B483">
        <v>421.65</v>
      </c>
      <c r="C483">
        <v>169.71</v>
      </c>
      <c r="D483">
        <v>92.56</v>
      </c>
      <c r="E483" s="12">
        <f t="shared" si="20"/>
        <v>5.2203212870449711E-4</v>
      </c>
      <c r="F483" s="12">
        <f t="shared" si="20"/>
        <v>-2.0772027003635118E-2</v>
      </c>
      <c r="G483" s="12">
        <f t="shared" si="20"/>
        <v>2.5595567867036095E-2</v>
      </c>
    </row>
    <row r="484" spans="1:7" x14ac:dyDescent="0.3">
      <c r="A484" t="s">
        <v>518</v>
      </c>
      <c r="B484">
        <v>422.86</v>
      </c>
      <c r="C484">
        <v>170.85</v>
      </c>
      <c r="D484">
        <v>95</v>
      </c>
      <c r="E484" s="12">
        <f t="shared" si="20"/>
        <v>2.8696786434248001E-3</v>
      </c>
      <c r="F484" s="12">
        <f t="shared" si="20"/>
        <v>6.7173413470036358E-3</v>
      </c>
      <c r="G484" s="12">
        <f t="shared" si="20"/>
        <v>2.6361279170267871E-2</v>
      </c>
    </row>
    <row r="485" spans="1:7" x14ac:dyDescent="0.3">
      <c r="A485" t="s">
        <v>519</v>
      </c>
      <c r="B485">
        <v>428.74</v>
      </c>
      <c r="C485">
        <v>172.28</v>
      </c>
      <c r="D485">
        <v>94.29</v>
      </c>
      <c r="E485" s="12">
        <f t="shared" si="20"/>
        <v>1.3905311450598257E-2</v>
      </c>
      <c r="F485" s="12">
        <f t="shared" si="20"/>
        <v>8.3699151302312202E-3</v>
      </c>
      <c r="G485" s="12">
        <f t="shared" si="20"/>
        <v>-7.4736842105262991E-3</v>
      </c>
    </row>
    <row r="486" spans="1:7" x14ac:dyDescent="0.3">
      <c r="A486" t="s">
        <v>520</v>
      </c>
      <c r="B486">
        <v>429.37</v>
      </c>
      <c r="C486">
        <v>171.37</v>
      </c>
      <c r="D486">
        <v>91.43</v>
      </c>
      <c r="E486" s="12">
        <f t="shared" si="20"/>
        <v>1.4694220273359093E-3</v>
      </c>
      <c r="F486" s="12">
        <f t="shared" si="20"/>
        <v>-5.2820989087531967E-3</v>
      </c>
      <c r="G486" s="12">
        <f t="shared" si="20"/>
        <v>-3.0331954608123879E-2</v>
      </c>
    </row>
    <row r="487" spans="1:7" x14ac:dyDescent="0.3">
      <c r="A487" t="s">
        <v>521</v>
      </c>
      <c r="B487">
        <v>425.23</v>
      </c>
      <c r="C487">
        <v>178.67</v>
      </c>
      <c r="D487">
        <v>90.37</v>
      </c>
      <c r="E487" s="12">
        <f t="shared" si="20"/>
        <v>-9.6420336772480297E-3</v>
      </c>
      <c r="F487" s="12">
        <f t="shared" si="20"/>
        <v>4.2597887611600438E-2</v>
      </c>
      <c r="G487" s="12">
        <f t="shared" si="20"/>
        <v>-1.159356885048668E-2</v>
      </c>
    </row>
    <row r="488" spans="1:7" x14ac:dyDescent="0.3">
      <c r="A488" t="s">
        <v>522</v>
      </c>
      <c r="B488">
        <v>421.41</v>
      </c>
      <c r="C488">
        <v>176.08</v>
      </c>
      <c r="D488">
        <v>89.4</v>
      </c>
      <c r="E488" s="12">
        <f t="shared" si="20"/>
        <v>-8.9833737036427719E-3</v>
      </c>
      <c r="F488" s="12">
        <f t="shared" si="20"/>
        <v>-1.4495998208988503E-2</v>
      </c>
      <c r="G488" s="12">
        <f t="shared" si="20"/>
        <v>-1.0733650547748108E-2</v>
      </c>
    </row>
    <row r="489" spans="1:7" x14ac:dyDescent="0.3">
      <c r="A489" t="s">
        <v>523</v>
      </c>
      <c r="B489">
        <v>417.32</v>
      </c>
      <c r="C489">
        <v>173.72</v>
      </c>
      <c r="D489">
        <v>88.46</v>
      </c>
      <c r="E489" s="12">
        <f t="shared" si="20"/>
        <v>-9.7055124463112374E-3</v>
      </c>
      <c r="F489" s="12">
        <f t="shared" si="20"/>
        <v>-1.3402998636983243E-2</v>
      </c>
      <c r="G489" s="12">
        <f t="shared" si="20"/>
        <v>-1.0514541387024789E-2</v>
      </c>
    </row>
    <row r="490" spans="1:7" x14ac:dyDescent="0.3">
      <c r="A490" t="s">
        <v>524</v>
      </c>
      <c r="B490">
        <v>416.42</v>
      </c>
      <c r="C490">
        <v>172.62</v>
      </c>
      <c r="D490">
        <v>87.84</v>
      </c>
      <c r="E490" s="12">
        <f t="shared" si="20"/>
        <v>-2.1566184223137386E-3</v>
      </c>
      <c r="F490" s="12">
        <f t="shared" si="20"/>
        <v>-6.332028551692348E-3</v>
      </c>
      <c r="G490" s="12">
        <f t="shared" si="20"/>
        <v>-7.0088175446528789E-3</v>
      </c>
    </row>
    <row r="491" spans="1:7" x14ac:dyDescent="0.3">
      <c r="A491" t="s">
        <v>525</v>
      </c>
      <c r="B491">
        <v>425.22</v>
      </c>
      <c r="C491">
        <v>173</v>
      </c>
      <c r="D491">
        <v>87.94</v>
      </c>
      <c r="E491" s="12">
        <f t="shared" si="20"/>
        <v>2.1132510446184138E-2</v>
      </c>
      <c r="F491" s="12">
        <f t="shared" si="20"/>
        <v>2.2013671648708488E-3</v>
      </c>
      <c r="G491" s="12">
        <f t="shared" si="20"/>
        <v>1.1384335154827063E-3</v>
      </c>
    </row>
    <row r="492" spans="1:7" x14ac:dyDescent="0.3">
      <c r="A492" t="s">
        <v>526</v>
      </c>
      <c r="B492">
        <v>415.1</v>
      </c>
      <c r="C492">
        <v>171.13</v>
      </c>
      <c r="D492">
        <v>90.89</v>
      </c>
      <c r="E492" s="12">
        <f t="shared" si="20"/>
        <v>-2.3799444993179986E-2</v>
      </c>
      <c r="F492" s="12">
        <f t="shared" si="20"/>
        <v>-1.0809248554913276E-2</v>
      </c>
      <c r="G492" s="12">
        <f t="shared" si="20"/>
        <v>3.3545599272231108E-2</v>
      </c>
    </row>
    <row r="493" spans="1:7" x14ac:dyDescent="0.3">
      <c r="A493" t="s">
        <v>527</v>
      </c>
      <c r="B493">
        <v>415.28</v>
      </c>
      <c r="C493">
        <v>173.23</v>
      </c>
      <c r="D493">
        <v>91.91</v>
      </c>
      <c r="E493" s="12">
        <f t="shared" si="20"/>
        <v>4.3363045049371607E-4</v>
      </c>
      <c r="F493" s="12">
        <f t="shared" si="20"/>
        <v>1.2271372640682454E-2</v>
      </c>
      <c r="G493" s="12">
        <f t="shared" si="20"/>
        <v>1.1222356694905899E-2</v>
      </c>
    </row>
    <row r="494" spans="1:7" x14ac:dyDescent="0.3">
      <c r="A494" t="s">
        <v>528</v>
      </c>
      <c r="B494">
        <v>404.52</v>
      </c>
      <c r="C494">
        <v>172.75</v>
      </c>
      <c r="D494">
        <v>85.77</v>
      </c>
      <c r="E494" s="12">
        <f t="shared" si="20"/>
        <v>-2.5910229242920413E-2</v>
      </c>
      <c r="F494" s="12">
        <f t="shared" si="20"/>
        <v>-2.7708826415747678E-3</v>
      </c>
      <c r="G494" s="12">
        <f t="shared" si="20"/>
        <v>-6.6804482646066865E-2</v>
      </c>
    </row>
    <row r="495" spans="1:7" x14ac:dyDescent="0.3">
      <c r="A495" t="s">
        <v>529</v>
      </c>
      <c r="B495">
        <v>406.22</v>
      </c>
      <c r="C495">
        <v>170.73</v>
      </c>
      <c r="D495">
        <v>87.53</v>
      </c>
      <c r="E495" s="12">
        <f t="shared" si="20"/>
        <v>4.2025116187087708E-3</v>
      </c>
      <c r="F495" s="12">
        <f t="shared" si="20"/>
        <v>-1.169319826338644E-2</v>
      </c>
      <c r="G495" s="12">
        <f t="shared" si="20"/>
        <v>2.0519995336364838E-2</v>
      </c>
    </row>
    <row r="496" spans="1:7" x14ac:dyDescent="0.3">
      <c r="A496" t="s">
        <v>530</v>
      </c>
      <c r="B496">
        <v>409.14</v>
      </c>
      <c r="C496">
        <v>169</v>
      </c>
      <c r="D496">
        <v>92.67</v>
      </c>
      <c r="E496" s="12">
        <f t="shared" si="20"/>
        <v>7.1882231303233013E-3</v>
      </c>
      <c r="F496" s="12">
        <f t="shared" si="20"/>
        <v>-1.0132958472441778E-2</v>
      </c>
      <c r="G496" s="12">
        <f t="shared" si="20"/>
        <v>5.8722723637609997E-2</v>
      </c>
    </row>
    <row r="497" spans="1:7" x14ac:dyDescent="0.3">
      <c r="A497" t="s">
        <v>531</v>
      </c>
      <c r="B497">
        <v>402.09</v>
      </c>
      <c r="C497">
        <v>169.12</v>
      </c>
      <c r="D497">
        <v>88.7</v>
      </c>
      <c r="E497" s="12">
        <f t="shared" si="20"/>
        <v>-1.7231265581463595E-2</v>
      </c>
      <c r="F497" s="12">
        <f t="shared" si="20"/>
        <v>7.1005917159761012E-4</v>
      </c>
      <c r="G497" s="12">
        <f t="shared" si="20"/>
        <v>-4.284018560483438E-2</v>
      </c>
    </row>
    <row r="498" spans="1:7" x14ac:dyDescent="0.3">
      <c r="A498" t="s">
        <v>532</v>
      </c>
      <c r="B498">
        <v>402.65</v>
      </c>
      <c r="C498">
        <v>170.12</v>
      </c>
      <c r="D498">
        <v>85.96</v>
      </c>
      <c r="E498" s="12">
        <f t="shared" si="20"/>
        <v>1.3927230222090525E-3</v>
      </c>
      <c r="F498" s="12">
        <f t="shared" si="20"/>
        <v>5.91296121097451E-3</v>
      </c>
      <c r="G498" s="12">
        <f t="shared" si="20"/>
        <v>-3.0890642615558184E-2</v>
      </c>
    </row>
    <row r="499" spans="1:7" x14ac:dyDescent="0.3">
      <c r="A499" t="s">
        <v>533</v>
      </c>
      <c r="B499">
        <v>414.92</v>
      </c>
      <c r="C499">
        <v>175.1</v>
      </c>
      <c r="D499">
        <v>85.24</v>
      </c>
      <c r="E499" s="12">
        <f t="shared" si="20"/>
        <v>3.0473115609089829E-2</v>
      </c>
      <c r="F499" s="12">
        <f t="shared" si="20"/>
        <v>2.9273454032447521E-2</v>
      </c>
      <c r="G499" s="12">
        <f t="shared" si="20"/>
        <v>-8.3759888320148468E-3</v>
      </c>
    </row>
    <row r="500" spans="1:7" x14ac:dyDescent="0.3">
      <c r="A500" t="s">
        <v>534</v>
      </c>
      <c r="B500">
        <v>415.5</v>
      </c>
      <c r="C500">
        <v>179.66</v>
      </c>
      <c r="D500">
        <v>82.28</v>
      </c>
      <c r="E500" s="12">
        <f t="shared" si="20"/>
        <v>1.3978598284005717E-3</v>
      </c>
      <c r="F500" s="12">
        <f t="shared" si="20"/>
        <v>2.6042261564820146E-2</v>
      </c>
      <c r="G500" s="12">
        <f t="shared" si="20"/>
        <v>-3.4725480994838076E-2</v>
      </c>
    </row>
    <row r="501" spans="1:7" x14ac:dyDescent="0.3">
      <c r="A501" t="s">
        <v>535</v>
      </c>
      <c r="B501">
        <v>413.64</v>
      </c>
      <c r="C501">
        <v>180.75</v>
      </c>
      <c r="D501">
        <v>79.11</v>
      </c>
      <c r="E501" s="12">
        <f t="shared" si="20"/>
        <v>-4.4765342960289001E-3</v>
      </c>
      <c r="F501" s="12">
        <f t="shared" si="20"/>
        <v>6.0670154736726101E-3</v>
      </c>
      <c r="G501" s="12">
        <f t="shared" si="20"/>
        <v>-3.8526981040350017E-2</v>
      </c>
    </row>
    <row r="502" spans="1:7" x14ac:dyDescent="0.3">
      <c r="A502" t="s">
        <v>536</v>
      </c>
      <c r="B502">
        <v>407.72</v>
      </c>
      <c r="C502">
        <v>181.42</v>
      </c>
      <c r="D502">
        <v>77.66</v>
      </c>
      <c r="E502" s="12">
        <f t="shared" si="20"/>
        <v>-1.4311962092640851E-2</v>
      </c>
      <c r="F502" s="12">
        <f t="shared" si="20"/>
        <v>3.7067773167358542E-3</v>
      </c>
      <c r="G502" s="12">
        <f t="shared" si="20"/>
        <v>-1.8328909113892067E-2</v>
      </c>
    </row>
    <row r="503" spans="1:7" x14ac:dyDescent="0.3">
      <c r="A503" t="s">
        <v>537</v>
      </c>
      <c r="B503">
        <v>407.48</v>
      </c>
      <c r="C503">
        <v>182.63</v>
      </c>
      <c r="D503">
        <v>78.7</v>
      </c>
      <c r="E503" s="12">
        <f t="shared" si="20"/>
        <v>-5.8863926223884366E-4</v>
      </c>
      <c r="F503" s="12">
        <f t="shared" si="20"/>
        <v>6.6696064380995512E-3</v>
      </c>
      <c r="G503" s="12">
        <f t="shared" si="20"/>
        <v>1.3391707442699019E-2</v>
      </c>
    </row>
    <row r="504" spans="1:7" x14ac:dyDescent="0.3">
      <c r="A504" t="s">
        <v>538</v>
      </c>
      <c r="B504">
        <v>407.54</v>
      </c>
      <c r="C504">
        <v>181.16</v>
      </c>
      <c r="D504">
        <v>79.09</v>
      </c>
      <c r="E504" s="12">
        <f t="shared" si="20"/>
        <v>1.4724649062536344E-4</v>
      </c>
      <c r="F504" s="12">
        <f t="shared" si="20"/>
        <v>-8.0490609428900406E-3</v>
      </c>
      <c r="G504" s="12">
        <f t="shared" si="20"/>
        <v>4.9555273189325622E-3</v>
      </c>
    </row>
    <row r="505" spans="1:7" x14ac:dyDescent="0.3">
      <c r="A505" t="s">
        <v>539</v>
      </c>
      <c r="B505">
        <v>410.34</v>
      </c>
      <c r="C505">
        <v>182.52</v>
      </c>
      <c r="D505">
        <v>78.819999999999993</v>
      </c>
      <c r="E505" s="12">
        <f t="shared" si="20"/>
        <v>6.8704912401236218E-3</v>
      </c>
      <c r="F505" s="12">
        <f t="shared" si="20"/>
        <v>7.5071759770368729E-3</v>
      </c>
      <c r="G505" s="12">
        <f t="shared" si="20"/>
        <v>-3.4138323429006023E-3</v>
      </c>
    </row>
    <row r="506" spans="1:7" x14ac:dyDescent="0.3">
      <c r="A506" t="s">
        <v>540</v>
      </c>
      <c r="B506">
        <v>411.65</v>
      </c>
      <c r="C506">
        <v>184.37</v>
      </c>
      <c r="D506">
        <v>78.540000000000006</v>
      </c>
      <c r="E506" s="12">
        <f t="shared" si="20"/>
        <v>3.1924745333138382E-3</v>
      </c>
      <c r="F506" s="12">
        <f t="shared" si="20"/>
        <v>1.0135875520490778E-2</v>
      </c>
      <c r="G506" s="12">
        <f t="shared" si="20"/>
        <v>-3.5523978685610968E-3</v>
      </c>
    </row>
    <row r="507" spans="1:7" x14ac:dyDescent="0.3">
      <c r="A507" t="s">
        <v>541</v>
      </c>
      <c r="B507">
        <v>402.18</v>
      </c>
      <c r="C507">
        <v>182.32</v>
      </c>
      <c r="D507">
        <v>67.47</v>
      </c>
      <c r="E507" s="12">
        <f t="shared" si="20"/>
        <v>-2.3004979958702765E-2</v>
      </c>
      <c r="F507" s="12">
        <f t="shared" si="20"/>
        <v>-1.1118945598524776E-2</v>
      </c>
      <c r="G507" s="12">
        <f t="shared" si="20"/>
        <v>-0.14094728800611167</v>
      </c>
    </row>
    <row r="508" spans="1:7" x14ac:dyDescent="0.3">
      <c r="A508" t="s">
        <v>542</v>
      </c>
      <c r="B508">
        <v>402.79</v>
      </c>
      <c r="C508">
        <v>181.56</v>
      </c>
      <c r="D508">
        <v>69.45</v>
      </c>
      <c r="E508" s="12">
        <f t="shared" si="20"/>
        <v>1.5167338007857634E-3</v>
      </c>
      <c r="F508" s="12">
        <f t="shared" si="20"/>
        <v>-4.1684949539271265E-3</v>
      </c>
      <c r="G508" s="12">
        <f t="shared" si="20"/>
        <v>2.9346376167185495E-2</v>
      </c>
    </row>
    <row r="509" spans="1:7" x14ac:dyDescent="0.3">
      <c r="A509" t="s">
        <v>543</v>
      </c>
      <c r="B509">
        <v>404.06</v>
      </c>
      <c r="C509">
        <v>182.31</v>
      </c>
      <c r="D509">
        <v>72.61</v>
      </c>
      <c r="E509" s="12">
        <f t="shared" si="20"/>
        <v>3.1530077707986326E-3</v>
      </c>
      <c r="F509" s="12">
        <f t="shared" si="20"/>
        <v>4.1308658294778589E-3</v>
      </c>
      <c r="G509" s="12">
        <f t="shared" si="20"/>
        <v>4.5500359971202275E-2</v>
      </c>
    </row>
    <row r="510" spans="1:7" x14ac:dyDescent="0.3">
      <c r="A510" t="s">
        <v>544</v>
      </c>
      <c r="B510">
        <v>406.56</v>
      </c>
      <c r="C510">
        <v>183.86</v>
      </c>
      <c r="D510">
        <v>72.66</v>
      </c>
      <c r="E510" s="12">
        <f t="shared" si="20"/>
        <v>6.1871999208038542E-3</v>
      </c>
      <c r="F510" s="12">
        <f t="shared" si="20"/>
        <v>8.5020020843618038E-3</v>
      </c>
      <c r="G510" s="12">
        <f t="shared" si="20"/>
        <v>6.8861038424450349E-4</v>
      </c>
    </row>
    <row r="511" spans="1:7" x14ac:dyDescent="0.3">
      <c r="A511" t="s">
        <v>545</v>
      </c>
      <c r="B511">
        <v>409.49</v>
      </c>
      <c r="C511">
        <v>184.15</v>
      </c>
      <c r="D511">
        <v>73.900000000000006</v>
      </c>
      <c r="E511" s="12">
        <f t="shared" si="20"/>
        <v>7.2068083431719998E-3</v>
      </c>
      <c r="F511" s="12">
        <f t="shared" si="20"/>
        <v>1.577287066246047E-3</v>
      </c>
      <c r="G511" s="12">
        <f t="shared" si="20"/>
        <v>1.7065785851913207E-2</v>
      </c>
    </row>
    <row r="512" spans="1:7" x14ac:dyDescent="0.3">
      <c r="A512" t="s">
        <v>546</v>
      </c>
      <c r="B512">
        <v>406.32</v>
      </c>
      <c r="C512">
        <v>185.04</v>
      </c>
      <c r="D512">
        <v>72.13</v>
      </c>
      <c r="E512" s="12">
        <f t="shared" si="20"/>
        <v>-7.741336784781061E-3</v>
      </c>
      <c r="F512" s="12">
        <f t="shared" si="20"/>
        <v>4.8330165625847243E-3</v>
      </c>
      <c r="G512" s="12">
        <f t="shared" si="20"/>
        <v>-2.3951285520974475E-2</v>
      </c>
    </row>
    <row r="513" spans="1:7" x14ac:dyDescent="0.3">
      <c r="A513" t="s">
        <v>547</v>
      </c>
      <c r="B513">
        <v>415.26</v>
      </c>
      <c r="C513">
        <v>187.15</v>
      </c>
      <c r="D513">
        <v>72.25</v>
      </c>
      <c r="E513" s="12">
        <f t="shared" si="20"/>
        <v>2.2002362669816922E-2</v>
      </c>
      <c r="F513" s="12">
        <f t="shared" si="20"/>
        <v>1.1402939904885612E-2</v>
      </c>
      <c r="G513" s="12">
        <f t="shared" si="20"/>
        <v>1.6636628309996127E-3</v>
      </c>
    </row>
    <row r="514" spans="1:7" x14ac:dyDescent="0.3">
      <c r="A514" t="s">
        <v>548</v>
      </c>
      <c r="B514">
        <v>420.55</v>
      </c>
      <c r="C514">
        <v>188.85</v>
      </c>
      <c r="D514">
        <v>72.13</v>
      </c>
      <c r="E514" s="12">
        <f t="shared" si="20"/>
        <v>1.2739006887251492E-2</v>
      </c>
      <c r="F514" s="12">
        <f t="shared" si="20"/>
        <v>9.0836227624899735E-3</v>
      </c>
      <c r="G514" s="12">
        <f t="shared" si="20"/>
        <v>-1.6608996539793086E-3</v>
      </c>
    </row>
    <row r="515" spans="1:7" x14ac:dyDescent="0.3">
      <c r="A515" t="s">
        <v>549</v>
      </c>
      <c r="B515">
        <v>414.11</v>
      </c>
      <c r="C515">
        <v>188.32</v>
      </c>
      <c r="D515">
        <v>69.64</v>
      </c>
      <c r="E515" s="12">
        <f t="shared" si="20"/>
        <v>-1.5313280228272497E-2</v>
      </c>
      <c r="F515" s="12">
        <f t="shared" si="20"/>
        <v>-2.8064601535610079E-3</v>
      </c>
      <c r="G515" s="12">
        <f t="shared" si="20"/>
        <v>-3.4521003743241296E-2</v>
      </c>
    </row>
    <row r="516" spans="1:7" x14ac:dyDescent="0.3">
      <c r="A516" t="s">
        <v>550</v>
      </c>
      <c r="B516">
        <v>414.05</v>
      </c>
      <c r="C516">
        <v>189.41</v>
      </c>
      <c r="D516">
        <v>70.099999999999994</v>
      </c>
      <c r="E516" s="12">
        <f t="shared" ref="E516:G579" si="21">B516/B515-1</f>
        <v>-1.448890391442248E-4</v>
      </c>
      <c r="F516" s="12">
        <f t="shared" si="21"/>
        <v>5.7880203908240446E-3</v>
      </c>
      <c r="G516" s="12">
        <f t="shared" si="21"/>
        <v>6.6053991958643365E-3</v>
      </c>
    </row>
    <row r="517" spans="1:7" x14ac:dyDescent="0.3">
      <c r="A517" t="s">
        <v>551</v>
      </c>
      <c r="B517">
        <v>405.49</v>
      </c>
      <c r="C517">
        <v>189.3</v>
      </c>
      <c r="D517">
        <v>68.22</v>
      </c>
      <c r="E517" s="12">
        <f t="shared" si="21"/>
        <v>-2.0673831662842646E-2</v>
      </c>
      <c r="F517" s="12">
        <f t="shared" si="21"/>
        <v>-5.8075075233610107E-4</v>
      </c>
      <c r="G517" s="12">
        <f t="shared" si="21"/>
        <v>-2.6818830242510638E-2</v>
      </c>
    </row>
    <row r="518" spans="1:7" x14ac:dyDescent="0.3">
      <c r="A518" t="s">
        <v>552</v>
      </c>
      <c r="B518">
        <v>405.65</v>
      </c>
      <c r="C518">
        <v>187.68</v>
      </c>
      <c r="D518">
        <v>69.33</v>
      </c>
      <c r="E518" s="12">
        <f t="shared" si="21"/>
        <v>3.9458433006966942E-4</v>
      </c>
      <c r="F518" s="12">
        <f t="shared" si="21"/>
        <v>-8.5578446909667649E-3</v>
      </c>
      <c r="G518" s="12">
        <f t="shared" si="21"/>
        <v>1.6270888302550635E-2</v>
      </c>
    </row>
    <row r="519" spans="1:7" x14ac:dyDescent="0.3">
      <c r="A519" t="s">
        <v>553</v>
      </c>
      <c r="B519">
        <v>411.22</v>
      </c>
      <c r="C519">
        <v>185.85</v>
      </c>
      <c r="D519">
        <v>66.16</v>
      </c>
      <c r="E519" s="12">
        <f t="shared" si="21"/>
        <v>1.3731048933810053E-2</v>
      </c>
      <c r="F519" s="12">
        <f t="shared" si="21"/>
        <v>-9.7506393861893637E-3</v>
      </c>
      <c r="G519" s="12">
        <f t="shared" si="21"/>
        <v>-4.5723352084234836E-2</v>
      </c>
    </row>
    <row r="520" spans="1:7" x14ac:dyDescent="0.3">
      <c r="A520" t="s">
        <v>554</v>
      </c>
      <c r="B520">
        <v>403.78</v>
      </c>
      <c r="C520">
        <v>186.86</v>
      </c>
      <c r="D520">
        <v>63.03</v>
      </c>
      <c r="E520" s="12">
        <f t="shared" si="21"/>
        <v>-1.8092505228345046E-2</v>
      </c>
      <c r="F520" s="12">
        <f t="shared" si="21"/>
        <v>5.4344901802529932E-3</v>
      </c>
      <c r="G520" s="12">
        <f t="shared" si="21"/>
        <v>-4.7309552599758109E-2</v>
      </c>
    </row>
    <row r="521" spans="1:7" x14ac:dyDescent="0.3">
      <c r="A521" t="s">
        <v>555</v>
      </c>
      <c r="B521">
        <v>397.58</v>
      </c>
      <c r="C521">
        <v>184.4</v>
      </c>
      <c r="D521">
        <v>61.53</v>
      </c>
      <c r="E521" s="12">
        <f t="shared" si="21"/>
        <v>-1.5354896230620585E-2</v>
      </c>
      <c r="F521" s="12">
        <f t="shared" si="21"/>
        <v>-1.3164936315958498E-2</v>
      </c>
      <c r="G521" s="12">
        <f t="shared" si="21"/>
        <v>-2.3798191337458308E-2</v>
      </c>
    </row>
    <row r="522" spans="1:7" x14ac:dyDescent="0.3">
      <c r="A522" t="s">
        <v>556</v>
      </c>
      <c r="B522">
        <v>408.59</v>
      </c>
      <c r="C522">
        <v>188.04</v>
      </c>
      <c r="D522">
        <v>62.77</v>
      </c>
      <c r="E522" s="12">
        <f t="shared" si="21"/>
        <v>2.7692539866190469E-2</v>
      </c>
      <c r="F522" s="12">
        <f t="shared" si="21"/>
        <v>1.9739696312364385E-2</v>
      </c>
      <c r="G522" s="12">
        <f t="shared" si="21"/>
        <v>2.0152771006013426E-2</v>
      </c>
    </row>
    <row r="523" spans="1:7" x14ac:dyDescent="0.3">
      <c r="A523" t="s">
        <v>557</v>
      </c>
      <c r="B523">
        <v>409.72</v>
      </c>
      <c r="C523">
        <v>191.73</v>
      </c>
      <c r="D523">
        <v>62.47</v>
      </c>
      <c r="E523" s="12">
        <f t="shared" si="21"/>
        <v>2.7656085562546284E-3</v>
      </c>
      <c r="F523" s="12">
        <f t="shared" si="21"/>
        <v>1.9623484365028698E-2</v>
      </c>
      <c r="G523" s="12">
        <f t="shared" si="21"/>
        <v>-4.7793531942010858E-3</v>
      </c>
    </row>
    <row r="524" spans="1:7" x14ac:dyDescent="0.3">
      <c r="A524" t="s">
        <v>558</v>
      </c>
      <c r="B524">
        <v>403.93</v>
      </c>
      <c r="C524">
        <v>192.42</v>
      </c>
      <c r="D524">
        <v>61.03</v>
      </c>
      <c r="E524" s="12">
        <f t="shared" si="21"/>
        <v>-1.4131602069706206E-2</v>
      </c>
      <c r="F524" s="12">
        <f t="shared" si="21"/>
        <v>3.5988108277265063E-3</v>
      </c>
      <c r="G524" s="12">
        <f t="shared" si="21"/>
        <v>-2.305106451096528E-2</v>
      </c>
    </row>
    <row r="525" spans="1:7" x14ac:dyDescent="0.3">
      <c r="A525" t="s">
        <v>559</v>
      </c>
      <c r="B525">
        <v>404.87</v>
      </c>
      <c r="C525">
        <v>194.17</v>
      </c>
      <c r="D525">
        <v>61.62</v>
      </c>
      <c r="E525" s="12">
        <f t="shared" si="21"/>
        <v>2.3271358898819816E-3</v>
      </c>
      <c r="F525" s="12">
        <f t="shared" si="21"/>
        <v>9.0946887017981926E-3</v>
      </c>
      <c r="G525" s="12">
        <f t="shared" si="21"/>
        <v>9.6673766999835209E-3</v>
      </c>
    </row>
    <row r="526" spans="1:7" x14ac:dyDescent="0.3">
      <c r="A526" t="s">
        <v>560</v>
      </c>
      <c r="B526">
        <v>402.56</v>
      </c>
      <c r="C526">
        <v>194.5</v>
      </c>
      <c r="D526">
        <v>61.36</v>
      </c>
      <c r="E526" s="12">
        <f t="shared" si="21"/>
        <v>-5.7055351100353535E-3</v>
      </c>
      <c r="F526" s="12">
        <f t="shared" si="21"/>
        <v>1.6995416387701745E-3</v>
      </c>
      <c r="G526" s="12">
        <f t="shared" si="21"/>
        <v>-4.2194092827003704E-3</v>
      </c>
    </row>
    <row r="527" spans="1:7" x14ac:dyDescent="0.3">
      <c r="A527" t="s">
        <v>561</v>
      </c>
      <c r="B527">
        <v>398.9</v>
      </c>
      <c r="C527">
        <v>195.18</v>
      </c>
      <c r="D527">
        <v>59.87</v>
      </c>
      <c r="E527" s="12">
        <f t="shared" si="21"/>
        <v>-9.0918124006359458E-3</v>
      </c>
      <c r="F527" s="12">
        <f t="shared" si="21"/>
        <v>3.4961439588689913E-3</v>
      </c>
      <c r="G527" s="12">
        <f t="shared" si="21"/>
        <v>-2.4282920469361202E-2</v>
      </c>
    </row>
    <row r="528" spans="1:7" x14ac:dyDescent="0.3">
      <c r="A528" t="s">
        <v>562</v>
      </c>
      <c r="B528">
        <v>396.51</v>
      </c>
      <c r="C528">
        <v>193.89</v>
      </c>
      <c r="D528">
        <v>59.65</v>
      </c>
      <c r="E528" s="12">
        <f t="shared" si="21"/>
        <v>-5.9914765605414422E-3</v>
      </c>
      <c r="F528" s="12">
        <f t="shared" si="21"/>
        <v>-6.609283738088001E-3</v>
      </c>
      <c r="G528" s="12">
        <f t="shared" si="21"/>
        <v>-3.6746283614498276E-3</v>
      </c>
    </row>
    <row r="529" spans="1:7" x14ac:dyDescent="0.3">
      <c r="A529" t="s">
        <v>563</v>
      </c>
      <c r="B529">
        <v>398.67</v>
      </c>
      <c r="C529">
        <v>191.56</v>
      </c>
      <c r="D529">
        <v>59.49</v>
      </c>
      <c r="E529" s="12">
        <f t="shared" si="21"/>
        <v>5.447529696603004E-3</v>
      </c>
      <c r="F529" s="12">
        <f t="shared" si="21"/>
        <v>-1.2017123111042305E-2</v>
      </c>
      <c r="G529" s="12">
        <f t="shared" si="21"/>
        <v>-2.682313495389721E-3</v>
      </c>
    </row>
    <row r="530" spans="1:7" x14ac:dyDescent="0.3">
      <c r="A530" t="s">
        <v>564</v>
      </c>
      <c r="B530">
        <v>393.87</v>
      </c>
      <c r="C530">
        <v>188.63</v>
      </c>
      <c r="D530">
        <v>57.11</v>
      </c>
      <c r="E530" s="12">
        <f t="shared" si="21"/>
        <v>-1.2040033110091053E-2</v>
      </c>
      <c r="F530" s="12">
        <f t="shared" si="21"/>
        <v>-1.5295468782626886E-2</v>
      </c>
      <c r="G530" s="12">
        <f t="shared" si="21"/>
        <v>-4.0006723819129286E-2</v>
      </c>
    </row>
    <row r="531" spans="1:7" x14ac:dyDescent="0.3">
      <c r="A531" t="s">
        <v>565</v>
      </c>
      <c r="B531">
        <v>389.47</v>
      </c>
      <c r="C531">
        <v>182.68</v>
      </c>
      <c r="D531">
        <v>56.05</v>
      </c>
      <c r="E531" s="12">
        <f t="shared" si="21"/>
        <v>-1.1171198618833533E-2</v>
      </c>
      <c r="F531" s="12">
        <f t="shared" si="21"/>
        <v>-3.1543232783756481E-2</v>
      </c>
      <c r="G531" s="12">
        <f t="shared" si="21"/>
        <v>-1.8560672386622401E-2</v>
      </c>
    </row>
    <row r="532" spans="1:7" x14ac:dyDescent="0.3">
      <c r="A532" t="s">
        <v>566</v>
      </c>
      <c r="B532">
        <v>390.27</v>
      </c>
      <c r="C532">
        <v>183.63</v>
      </c>
      <c r="D532">
        <v>56.38</v>
      </c>
      <c r="E532" s="12">
        <f t="shared" si="21"/>
        <v>2.0540734844787245E-3</v>
      </c>
      <c r="F532" s="12">
        <f t="shared" si="21"/>
        <v>5.2003503393911465E-3</v>
      </c>
      <c r="G532" s="12">
        <f t="shared" si="21"/>
        <v>5.8876003568244517E-3</v>
      </c>
    </row>
    <row r="533" spans="1:7" x14ac:dyDescent="0.3">
      <c r="A533" t="s">
        <v>567</v>
      </c>
      <c r="B533">
        <v>388.47</v>
      </c>
      <c r="C533">
        <v>185.92</v>
      </c>
      <c r="D533">
        <v>54.71</v>
      </c>
      <c r="E533" s="12">
        <f t="shared" si="21"/>
        <v>-4.6121915596892826E-3</v>
      </c>
      <c r="F533" s="12">
        <f t="shared" si="21"/>
        <v>1.2470729183684526E-2</v>
      </c>
      <c r="G533" s="12">
        <f t="shared" si="21"/>
        <v>-2.9620432777580752E-2</v>
      </c>
    </row>
    <row r="534" spans="1:7" x14ac:dyDescent="0.3">
      <c r="A534" t="s">
        <v>568</v>
      </c>
      <c r="B534">
        <v>384.63</v>
      </c>
      <c r="C534">
        <v>185.59</v>
      </c>
      <c r="D534">
        <v>54.82</v>
      </c>
      <c r="E534" s="12">
        <f t="shared" si="21"/>
        <v>-9.8849331994749212E-3</v>
      </c>
      <c r="F534" s="12">
        <f t="shared" si="21"/>
        <v>-1.7749569707400381E-3</v>
      </c>
      <c r="G534" s="12">
        <f t="shared" si="21"/>
        <v>2.0106013525864608E-3</v>
      </c>
    </row>
    <row r="535" spans="1:7" x14ac:dyDescent="0.3">
      <c r="A535" t="s">
        <v>569</v>
      </c>
      <c r="B535">
        <v>382.77</v>
      </c>
      <c r="C535">
        <v>186.19</v>
      </c>
      <c r="D535">
        <v>54.35</v>
      </c>
      <c r="E535" s="12">
        <f t="shared" si="21"/>
        <v>-4.8358162389829928E-3</v>
      </c>
      <c r="F535" s="12">
        <f t="shared" si="21"/>
        <v>3.2329328088798182E-3</v>
      </c>
      <c r="G535" s="12">
        <f t="shared" si="21"/>
        <v>-8.5735133163078459E-3</v>
      </c>
    </row>
    <row r="536" spans="1:7" x14ac:dyDescent="0.3">
      <c r="A536" t="s">
        <v>570</v>
      </c>
      <c r="B536">
        <v>375.79</v>
      </c>
      <c r="C536">
        <v>185.14</v>
      </c>
      <c r="D536">
        <v>53.14</v>
      </c>
      <c r="E536" s="12">
        <f t="shared" si="21"/>
        <v>-1.8235493899730781E-2</v>
      </c>
      <c r="F536" s="12">
        <f t="shared" si="21"/>
        <v>-5.6394006122778562E-3</v>
      </c>
      <c r="G536" s="12">
        <f t="shared" si="21"/>
        <v>-2.2263109475621046E-2</v>
      </c>
    </row>
    <row r="537" spans="1:7" x14ac:dyDescent="0.3">
      <c r="A537" t="s">
        <v>571</v>
      </c>
      <c r="B537">
        <v>374.69</v>
      </c>
      <c r="C537">
        <v>185.56</v>
      </c>
      <c r="D537">
        <v>52.25</v>
      </c>
      <c r="E537" s="12">
        <f t="shared" si="21"/>
        <v>-2.9271667686741054E-3</v>
      </c>
      <c r="F537" s="12">
        <f t="shared" si="21"/>
        <v>2.2685535270607904E-3</v>
      </c>
      <c r="G537" s="12">
        <f t="shared" si="21"/>
        <v>-1.674821226947687E-2</v>
      </c>
    </row>
    <row r="538" spans="1:7" x14ac:dyDescent="0.3">
      <c r="A538" t="s">
        <v>572</v>
      </c>
      <c r="B538">
        <v>367.75</v>
      </c>
      <c r="C538">
        <v>181.18</v>
      </c>
      <c r="D538">
        <v>49.1</v>
      </c>
      <c r="E538" s="12">
        <f t="shared" si="21"/>
        <v>-1.8521978168619335E-2</v>
      </c>
      <c r="F538" s="12">
        <f t="shared" si="21"/>
        <v>-2.3604225048501792E-2</v>
      </c>
      <c r="G538" s="12">
        <f t="shared" si="21"/>
        <v>-6.0287081339712945E-2</v>
      </c>
    </row>
    <row r="539" spans="1:7" x14ac:dyDescent="0.3">
      <c r="A539" t="s">
        <v>573</v>
      </c>
      <c r="B539">
        <v>367.94</v>
      </c>
      <c r="C539">
        <v>181.91</v>
      </c>
      <c r="D539">
        <v>48</v>
      </c>
      <c r="E539" s="12">
        <f t="shared" si="21"/>
        <v>5.1665533650568918E-4</v>
      </c>
      <c r="F539" s="12">
        <f t="shared" si="21"/>
        <v>4.0291422894358497E-3</v>
      </c>
      <c r="G539" s="12">
        <f t="shared" si="21"/>
        <v>-2.2403258655804503E-2</v>
      </c>
    </row>
    <row r="540" spans="1:7" x14ac:dyDescent="0.3">
      <c r="A540" t="s">
        <v>574</v>
      </c>
      <c r="B540">
        <v>370.6</v>
      </c>
      <c r="C540">
        <v>184.25</v>
      </c>
      <c r="D540">
        <v>47.57</v>
      </c>
      <c r="E540" s="12">
        <f t="shared" si="21"/>
        <v>7.229439582540742E-3</v>
      </c>
      <c r="F540" s="12">
        <f t="shared" si="21"/>
        <v>1.2863503930515163E-2</v>
      </c>
      <c r="G540" s="12">
        <f t="shared" si="21"/>
        <v>-8.9583333333332904E-3</v>
      </c>
    </row>
    <row r="541" spans="1:7" x14ac:dyDescent="0.3">
      <c r="A541" t="s">
        <v>575</v>
      </c>
      <c r="B541">
        <v>370.87</v>
      </c>
      <c r="C541">
        <v>185.64</v>
      </c>
      <c r="D541">
        <v>48.17</v>
      </c>
      <c r="E541" s="12">
        <f t="shared" si="21"/>
        <v>7.2854830005386617E-4</v>
      </c>
      <c r="F541" s="12">
        <f t="shared" si="21"/>
        <v>7.5440976933514037E-3</v>
      </c>
      <c r="G541" s="12">
        <f t="shared" si="21"/>
        <v>1.2612991381122596E-2</v>
      </c>
    </row>
    <row r="542" spans="1:7" x14ac:dyDescent="0.3">
      <c r="A542" t="s">
        <v>576</v>
      </c>
      <c r="B542">
        <v>376.04</v>
      </c>
      <c r="C542">
        <v>192.53</v>
      </c>
      <c r="D542">
        <v>49.52</v>
      </c>
      <c r="E542" s="12">
        <f t="shared" si="21"/>
        <v>1.394019467738028E-2</v>
      </c>
      <c r="F542" s="12">
        <f t="shared" si="21"/>
        <v>3.711484593837544E-2</v>
      </c>
      <c r="G542" s="12">
        <f t="shared" si="21"/>
        <v>2.8025742163172218E-2</v>
      </c>
    </row>
    <row r="543" spans="1:7" x14ac:dyDescent="0.3">
      <c r="A543" t="s">
        <v>577</v>
      </c>
      <c r="B543">
        <v>375.28</v>
      </c>
      <c r="C543">
        <v>193.58</v>
      </c>
      <c r="D543">
        <v>49.52</v>
      </c>
      <c r="E543" s="12">
        <f t="shared" si="21"/>
        <v>-2.0210615891927963E-3</v>
      </c>
      <c r="F543" s="12">
        <f t="shared" si="21"/>
        <v>5.4536955279698152E-3</v>
      </c>
      <c r="G543" s="12">
        <f t="shared" si="21"/>
        <v>0</v>
      </c>
    </row>
    <row r="544" spans="1:7" x14ac:dyDescent="0.3">
      <c r="A544" t="s">
        <v>578</v>
      </c>
      <c r="B544">
        <v>374.07</v>
      </c>
      <c r="C544">
        <v>193.15</v>
      </c>
      <c r="D544">
        <v>49.42</v>
      </c>
      <c r="E544" s="12">
        <f t="shared" si="21"/>
        <v>-3.2242592197825326E-3</v>
      </c>
      <c r="F544" s="12">
        <f t="shared" si="21"/>
        <v>-2.2213038537038932E-3</v>
      </c>
      <c r="G544" s="12">
        <f t="shared" si="21"/>
        <v>-2.0193861066236662E-3</v>
      </c>
    </row>
    <row r="545" spans="1:7" x14ac:dyDescent="0.3">
      <c r="A545" t="s">
        <v>579</v>
      </c>
      <c r="B545">
        <v>374.66</v>
      </c>
      <c r="C545">
        <v>193.05</v>
      </c>
      <c r="D545">
        <v>49.28</v>
      </c>
      <c r="E545" s="12">
        <f t="shared" si="21"/>
        <v>1.5772449006872247E-3</v>
      </c>
      <c r="F545" s="12">
        <f t="shared" si="21"/>
        <v>-5.1773233238416871E-4</v>
      </c>
      <c r="G545" s="12">
        <f t="shared" si="21"/>
        <v>-2.8328611898017497E-3</v>
      </c>
    </row>
    <row r="546" spans="1:7" x14ac:dyDescent="0.3">
      <c r="A546" t="s">
        <v>580</v>
      </c>
      <c r="B546">
        <v>374.58</v>
      </c>
      <c r="C546">
        <v>193.6</v>
      </c>
      <c r="D546">
        <v>48.83</v>
      </c>
      <c r="E546" s="12">
        <f t="shared" si="21"/>
        <v>-2.1352693108434018E-4</v>
      </c>
      <c r="F546" s="12">
        <f t="shared" si="21"/>
        <v>2.8490028490026909E-3</v>
      </c>
      <c r="G546" s="12">
        <f t="shared" si="21"/>
        <v>-9.1314935064935598E-3</v>
      </c>
    </row>
    <row r="547" spans="1:7" x14ac:dyDescent="0.3">
      <c r="A547" t="s">
        <v>581</v>
      </c>
      <c r="B547">
        <v>373.54</v>
      </c>
      <c r="C547">
        <v>194.68</v>
      </c>
      <c r="D547">
        <v>48.99</v>
      </c>
      <c r="E547" s="12">
        <f t="shared" si="21"/>
        <v>-2.776442949436575E-3</v>
      </c>
      <c r="F547" s="12">
        <f t="shared" si="21"/>
        <v>5.5785123966942685E-3</v>
      </c>
      <c r="G547" s="12">
        <f t="shared" si="21"/>
        <v>3.2766741757117579E-3</v>
      </c>
    </row>
    <row r="548" spans="1:7" x14ac:dyDescent="0.3">
      <c r="A548" t="s">
        <v>582</v>
      </c>
      <c r="B548">
        <v>370.62</v>
      </c>
      <c r="C548">
        <v>194.83</v>
      </c>
      <c r="D548">
        <v>48.11</v>
      </c>
      <c r="E548" s="12">
        <f t="shared" si="21"/>
        <v>-7.8171012475237722E-3</v>
      </c>
      <c r="F548" s="12">
        <f t="shared" si="21"/>
        <v>7.7049517156368985E-4</v>
      </c>
      <c r="G548" s="12">
        <f t="shared" si="21"/>
        <v>-1.796284956113503E-2</v>
      </c>
    </row>
    <row r="549" spans="1:7" x14ac:dyDescent="0.3">
      <c r="A549" t="s">
        <v>583</v>
      </c>
      <c r="B549">
        <v>373.26</v>
      </c>
      <c r="C549">
        <v>196.94</v>
      </c>
      <c r="D549">
        <v>49.6</v>
      </c>
      <c r="E549" s="12">
        <f t="shared" si="21"/>
        <v>7.1231989638982363E-3</v>
      </c>
      <c r="F549" s="12">
        <f t="shared" si="21"/>
        <v>1.0829954319149904E-2</v>
      </c>
      <c r="G549" s="12">
        <f t="shared" si="21"/>
        <v>3.0970692163791336E-2</v>
      </c>
    </row>
    <row r="550" spans="1:7" x14ac:dyDescent="0.3">
      <c r="A550" t="s">
        <v>584</v>
      </c>
      <c r="B550">
        <v>372.65</v>
      </c>
      <c r="C550">
        <v>195.89</v>
      </c>
      <c r="D550">
        <v>50.08</v>
      </c>
      <c r="E550" s="12">
        <f t="shared" si="21"/>
        <v>-1.6342495847398997E-3</v>
      </c>
      <c r="F550" s="12">
        <f t="shared" si="21"/>
        <v>-5.3315730679395212E-3</v>
      </c>
      <c r="G550" s="12">
        <f t="shared" si="21"/>
        <v>9.6774193548385679E-3</v>
      </c>
    </row>
    <row r="551" spans="1:7" x14ac:dyDescent="0.3">
      <c r="A551" t="s">
        <v>585</v>
      </c>
      <c r="B551">
        <v>370.73</v>
      </c>
      <c r="C551">
        <v>197.57</v>
      </c>
      <c r="D551">
        <v>48.89</v>
      </c>
      <c r="E551" s="12">
        <f t="shared" si="21"/>
        <v>-5.152287669394795E-3</v>
      </c>
      <c r="F551" s="12">
        <f t="shared" si="21"/>
        <v>8.5762417683394876E-3</v>
      </c>
      <c r="G551" s="12">
        <f t="shared" si="21"/>
        <v>-2.3761980830670937E-2</v>
      </c>
    </row>
    <row r="552" spans="1:7" x14ac:dyDescent="0.3">
      <c r="A552" t="s">
        <v>586</v>
      </c>
      <c r="B552">
        <v>365.93</v>
      </c>
      <c r="C552">
        <v>198.11</v>
      </c>
      <c r="D552">
        <v>48.35</v>
      </c>
      <c r="E552" s="12">
        <f t="shared" si="21"/>
        <v>-1.2947428047366039E-2</v>
      </c>
      <c r="F552" s="12">
        <f t="shared" si="21"/>
        <v>2.7332084830693493E-3</v>
      </c>
      <c r="G552" s="12">
        <f t="shared" si="21"/>
        <v>-1.1045203518101898E-2</v>
      </c>
    </row>
    <row r="553" spans="1:7" x14ac:dyDescent="0.3">
      <c r="A553" t="s">
        <v>587</v>
      </c>
      <c r="B553">
        <v>374.37</v>
      </c>
      <c r="C553">
        <v>197.96</v>
      </c>
      <c r="D553">
        <v>48.09</v>
      </c>
      <c r="E553" s="12">
        <f t="shared" si="21"/>
        <v>2.3064520536714594E-2</v>
      </c>
      <c r="F553" s="12">
        <f t="shared" si="21"/>
        <v>-7.5715511584473205E-4</v>
      </c>
      <c r="G553" s="12">
        <f t="shared" si="21"/>
        <v>-5.3774560496380186E-3</v>
      </c>
    </row>
    <row r="554" spans="1:7" x14ac:dyDescent="0.3">
      <c r="A554" t="s">
        <v>588</v>
      </c>
      <c r="B554">
        <v>374.38</v>
      </c>
      <c r="C554">
        <v>194.71</v>
      </c>
      <c r="D554">
        <v>47.66</v>
      </c>
      <c r="E554" s="12">
        <f t="shared" si="21"/>
        <v>2.6711542057356041E-5</v>
      </c>
      <c r="F554" s="12">
        <f t="shared" si="21"/>
        <v>-1.6417458072337854E-2</v>
      </c>
      <c r="G554" s="12">
        <f t="shared" si="21"/>
        <v>-8.9415678935330645E-3</v>
      </c>
    </row>
    <row r="555" spans="1:7" x14ac:dyDescent="0.3">
      <c r="A555" t="s">
        <v>589</v>
      </c>
      <c r="B555">
        <v>371.3</v>
      </c>
      <c r="C555">
        <v>193.18</v>
      </c>
      <c r="D555">
        <v>46.63</v>
      </c>
      <c r="E555" s="12">
        <f t="shared" si="21"/>
        <v>-8.2269351995298834E-3</v>
      </c>
      <c r="F555" s="12">
        <f t="shared" si="21"/>
        <v>-7.8578398644137959E-3</v>
      </c>
      <c r="G555" s="12">
        <f t="shared" si="21"/>
        <v>-2.1611414183801858E-2</v>
      </c>
    </row>
    <row r="556" spans="1:7" x14ac:dyDescent="0.3">
      <c r="A556" t="s">
        <v>590</v>
      </c>
      <c r="B556">
        <v>374.23</v>
      </c>
      <c r="C556">
        <v>195.71</v>
      </c>
      <c r="D556">
        <v>47.51</v>
      </c>
      <c r="E556" s="12">
        <f t="shared" si="21"/>
        <v>7.8911931053056161E-3</v>
      </c>
      <c r="F556" s="12">
        <f t="shared" si="21"/>
        <v>1.3096593850295157E-2</v>
      </c>
      <c r="G556" s="12">
        <f t="shared" si="21"/>
        <v>1.887197083422687E-2</v>
      </c>
    </row>
    <row r="557" spans="1:7" x14ac:dyDescent="0.3">
      <c r="A557" t="s">
        <v>591</v>
      </c>
      <c r="B557">
        <v>370.95</v>
      </c>
      <c r="C557">
        <v>194.27</v>
      </c>
      <c r="D557">
        <v>46.6</v>
      </c>
      <c r="E557" s="12">
        <f t="shared" si="21"/>
        <v>-8.7646634422682279E-3</v>
      </c>
      <c r="F557" s="12">
        <f t="shared" si="21"/>
        <v>-7.3578253538398863E-3</v>
      </c>
      <c r="G557" s="12">
        <f t="shared" si="21"/>
        <v>-1.9153862344769457E-2</v>
      </c>
    </row>
    <row r="558" spans="1:7" x14ac:dyDescent="0.3">
      <c r="A558" t="s">
        <v>592</v>
      </c>
      <c r="B558">
        <v>368.8</v>
      </c>
      <c r="C558">
        <v>192.32</v>
      </c>
      <c r="D558">
        <v>45.5</v>
      </c>
      <c r="E558" s="12">
        <f t="shared" si="21"/>
        <v>-5.7959293705350801E-3</v>
      </c>
      <c r="F558" s="12">
        <f t="shared" si="21"/>
        <v>-1.0037576568693196E-2</v>
      </c>
      <c r="G558" s="12">
        <f t="shared" si="21"/>
        <v>-2.3605150214592308E-2</v>
      </c>
    </row>
    <row r="559" spans="1:7" x14ac:dyDescent="0.3">
      <c r="A559" t="s">
        <v>593</v>
      </c>
      <c r="B559">
        <v>372.52</v>
      </c>
      <c r="C559">
        <v>193.42</v>
      </c>
      <c r="D559">
        <v>46.57</v>
      </c>
      <c r="E559" s="12">
        <f t="shared" si="21"/>
        <v>1.0086767895878479E-2</v>
      </c>
      <c r="F559" s="12">
        <f t="shared" si="21"/>
        <v>5.71963394342756E-3</v>
      </c>
      <c r="G559" s="12">
        <f t="shared" si="21"/>
        <v>2.3516483516483611E-2</v>
      </c>
    </row>
    <row r="560" spans="1:7" x14ac:dyDescent="0.3">
      <c r="A560" t="s">
        <v>594</v>
      </c>
      <c r="B560">
        <v>369.14</v>
      </c>
      <c r="C560">
        <v>189.43</v>
      </c>
      <c r="D560">
        <v>45.51</v>
      </c>
      <c r="E560" s="12">
        <f t="shared" si="21"/>
        <v>-9.0733383442499482E-3</v>
      </c>
      <c r="F560" s="12">
        <f t="shared" si="21"/>
        <v>-2.0628683693516559E-2</v>
      </c>
      <c r="G560" s="12">
        <f t="shared" si="21"/>
        <v>-2.2761434399828251E-2</v>
      </c>
    </row>
    <row r="561" spans="1:7" x14ac:dyDescent="0.3">
      <c r="A561" t="s">
        <v>595</v>
      </c>
      <c r="B561">
        <v>374.51</v>
      </c>
      <c r="C561">
        <v>191.24</v>
      </c>
      <c r="D561">
        <v>46.76</v>
      </c>
      <c r="E561" s="12">
        <f t="shared" si="21"/>
        <v>1.4547326217695167E-2</v>
      </c>
      <c r="F561" s="12">
        <f t="shared" si="21"/>
        <v>9.5549807316686053E-3</v>
      </c>
      <c r="G561" s="12">
        <f t="shared" si="21"/>
        <v>2.7466490881125072E-2</v>
      </c>
    </row>
    <row r="562" spans="1:7" x14ac:dyDescent="0.3">
      <c r="A562" t="s">
        <v>596</v>
      </c>
      <c r="B562">
        <v>378.91</v>
      </c>
      <c r="C562">
        <v>189.95</v>
      </c>
      <c r="D562">
        <v>46.77</v>
      </c>
      <c r="E562" s="12">
        <f t="shared" si="21"/>
        <v>1.1748684948332588E-2</v>
      </c>
      <c r="F562" s="12">
        <f t="shared" si="21"/>
        <v>-6.7454507425226407E-3</v>
      </c>
      <c r="G562" s="12">
        <f t="shared" si="21"/>
        <v>2.1385799828932406E-4</v>
      </c>
    </row>
    <row r="563" spans="1:7" x14ac:dyDescent="0.3">
      <c r="A563" t="s">
        <v>597</v>
      </c>
      <c r="B563">
        <v>378.85</v>
      </c>
      <c r="C563">
        <v>189.37</v>
      </c>
      <c r="D563">
        <v>48.14</v>
      </c>
      <c r="E563" s="12">
        <f t="shared" si="21"/>
        <v>-1.5834894829902524E-4</v>
      </c>
      <c r="F563" s="12">
        <f t="shared" si="21"/>
        <v>-3.0534351145037331E-3</v>
      </c>
      <c r="G563" s="12">
        <f t="shared" si="21"/>
        <v>2.9292281376950946E-2</v>
      </c>
    </row>
    <row r="564" spans="1:7" x14ac:dyDescent="0.3">
      <c r="A564" t="s">
        <v>598</v>
      </c>
      <c r="B564">
        <v>382.7</v>
      </c>
      <c r="C564">
        <v>190.4</v>
      </c>
      <c r="D564">
        <v>47.82</v>
      </c>
      <c r="E564" s="12">
        <f t="shared" si="21"/>
        <v>1.0162333377325972E-2</v>
      </c>
      <c r="F564" s="12">
        <f t="shared" si="21"/>
        <v>5.4390875006600226E-3</v>
      </c>
      <c r="G564" s="12">
        <f t="shared" si="21"/>
        <v>-6.6472787702533953E-3</v>
      </c>
    </row>
    <row r="565" spans="1:7" x14ac:dyDescent="0.3">
      <c r="A565" t="s">
        <v>599</v>
      </c>
      <c r="B565">
        <v>378.61</v>
      </c>
      <c r="C565">
        <v>189.79</v>
      </c>
      <c r="D565">
        <v>48.24</v>
      </c>
      <c r="E565" s="12">
        <f t="shared" si="21"/>
        <v>-1.0687222367389504E-2</v>
      </c>
      <c r="F565" s="12">
        <f t="shared" si="21"/>
        <v>-3.2037815126051417E-3</v>
      </c>
      <c r="G565" s="12">
        <f t="shared" si="21"/>
        <v>8.7829360100377674E-3</v>
      </c>
    </row>
    <row r="566" spans="1:7" x14ac:dyDescent="0.3">
      <c r="A566" t="s">
        <v>600</v>
      </c>
      <c r="B566">
        <v>377.43</v>
      </c>
      <c r="C566">
        <v>189.97</v>
      </c>
      <c r="D566">
        <v>47.78</v>
      </c>
      <c r="E566" s="12">
        <f t="shared" si="21"/>
        <v>-3.11666358521967E-3</v>
      </c>
      <c r="F566" s="12">
        <f t="shared" si="21"/>
        <v>9.4841667105760585E-4</v>
      </c>
      <c r="G566" s="12">
        <f t="shared" si="21"/>
        <v>-9.5356550580431021E-3</v>
      </c>
    </row>
    <row r="567" spans="1:7" x14ac:dyDescent="0.3">
      <c r="A567" t="s">
        <v>601</v>
      </c>
      <c r="B567">
        <v>377.85</v>
      </c>
      <c r="C567">
        <v>191.31</v>
      </c>
      <c r="D567">
        <v>48.72</v>
      </c>
      <c r="E567" s="12">
        <f t="shared" si="21"/>
        <v>1.1127891264606227E-3</v>
      </c>
      <c r="F567" s="12">
        <f t="shared" si="21"/>
        <v>7.0537453282097928E-3</v>
      </c>
      <c r="G567" s="12">
        <f t="shared" si="21"/>
        <v>1.9673503557974037E-2</v>
      </c>
    </row>
    <row r="568" spans="1:7" x14ac:dyDescent="0.3">
      <c r="A568" t="s">
        <v>602</v>
      </c>
      <c r="B568">
        <v>373.07</v>
      </c>
      <c r="C568">
        <v>190.64</v>
      </c>
      <c r="D568">
        <v>49.94</v>
      </c>
      <c r="E568" s="12">
        <f t="shared" si="21"/>
        <v>-1.2650522694190869E-2</v>
      </c>
      <c r="F568" s="12">
        <f t="shared" si="21"/>
        <v>-3.5021692540903038E-3</v>
      </c>
      <c r="G568" s="12">
        <f t="shared" si="21"/>
        <v>2.504105090311981E-2</v>
      </c>
    </row>
    <row r="569" spans="1:7" x14ac:dyDescent="0.3">
      <c r="A569" t="s">
        <v>603</v>
      </c>
      <c r="B569">
        <v>377.44</v>
      </c>
      <c r="C569">
        <v>191.45</v>
      </c>
      <c r="D569">
        <v>50.41</v>
      </c>
      <c r="E569" s="12">
        <f t="shared" si="21"/>
        <v>1.171361942798943E-2</v>
      </c>
      <c r="F569" s="12">
        <f t="shared" si="21"/>
        <v>4.2488459924465705E-3</v>
      </c>
      <c r="G569" s="12">
        <f t="shared" si="21"/>
        <v>9.4112935522627783E-3</v>
      </c>
    </row>
    <row r="570" spans="1:7" x14ac:dyDescent="0.3">
      <c r="A570" t="s">
        <v>604</v>
      </c>
      <c r="B570">
        <v>369.85</v>
      </c>
      <c r="C570">
        <v>189.69</v>
      </c>
      <c r="D570">
        <v>49.3</v>
      </c>
      <c r="E570" s="12">
        <f t="shared" si="21"/>
        <v>-2.0109156422212782E-2</v>
      </c>
      <c r="F570" s="12">
        <f t="shared" si="21"/>
        <v>-9.1930007834943872E-3</v>
      </c>
      <c r="G570" s="12">
        <f t="shared" si="21"/>
        <v>-2.201944058718508E-2</v>
      </c>
    </row>
    <row r="571" spans="1:7" x14ac:dyDescent="0.3">
      <c r="A571" t="s">
        <v>605</v>
      </c>
      <c r="B571">
        <v>376.17</v>
      </c>
      <c r="C571">
        <v>189.71</v>
      </c>
      <c r="D571">
        <v>49.48</v>
      </c>
      <c r="E571" s="12">
        <f t="shared" si="21"/>
        <v>1.7088008652156317E-2</v>
      </c>
      <c r="F571" s="12">
        <f t="shared" si="21"/>
        <v>1.0543518372085892E-4</v>
      </c>
      <c r="G571" s="12">
        <f t="shared" si="21"/>
        <v>3.6511156186611604E-3</v>
      </c>
    </row>
    <row r="572" spans="1:7" x14ac:dyDescent="0.3">
      <c r="A572" t="s">
        <v>606</v>
      </c>
      <c r="B572">
        <v>369.67</v>
      </c>
      <c r="C572">
        <v>188.01</v>
      </c>
      <c r="D572">
        <v>48.89</v>
      </c>
      <c r="E572" s="12">
        <f t="shared" si="21"/>
        <v>-1.7279421538134332E-2</v>
      </c>
      <c r="F572" s="12">
        <f t="shared" si="21"/>
        <v>-8.961045806757717E-3</v>
      </c>
      <c r="G572" s="12">
        <f t="shared" si="21"/>
        <v>-1.1924009700889138E-2</v>
      </c>
    </row>
    <row r="573" spans="1:7" x14ac:dyDescent="0.3">
      <c r="A573" t="s">
        <v>607</v>
      </c>
      <c r="B573">
        <v>370.27</v>
      </c>
      <c r="C573">
        <v>187.44</v>
      </c>
      <c r="D573">
        <v>49.66</v>
      </c>
      <c r="E573" s="12">
        <f t="shared" si="21"/>
        <v>1.6230692239023181E-3</v>
      </c>
      <c r="F573" s="12">
        <f t="shared" si="21"/>
        <v>-3.0317536301259773E-3</v>
      </c>
      <c r="G573" s="12">
        <f t="shared" si="21"/>
        <v>1.5749642053589641E-2</v>
      </c>
    </row>
    <row r="574" spans="1:7" x14ac:dyDescent="0.3">
      <c r="A574" t="s">
        <v>608</v>
      </c>
      <c r="B574">
        <v>366.68</v>
      </c>
      <c r="C574">
        <v>184.8</v>
      </c>
      <c r="D574">
        <v>48.62</v>
      </c>
      <c r="E574" s="12">
        <f t="shared" si="21"/>
        <v>-9.6956275150564819E-3</v>
      </c>
      <c r="F574" s="12">
        <f t="shared" si="21"/>
        <v>-1.4084507042253502E-2</v>
      </c>
      <c r="G574" s="12">
        <f t="shared" si="21"/>
        <v>-2.0942408376963373E-2</v>
      </c>
    </row>
    <row r="575" spans="1:7" x14ac:dyDescent="0.3">
      <c r="A575" t="s">
        <v>609</v>
      </c>
      <c r="B575">
        <v>369.67</v>
      </c>
      <c r="C575">
        <v>186.4</v>
      </c>
      <c r="D575">
        <v>48.33</v>
      </c>
      <c r="E575" s="12">
        <f t="shared" si="21"/>
        <v>8.1542489364023751E-3</v>
      </c>
      <c r="F575" s="12">
        <f t="shared" si="21"/>
        <v>8.6580086580085869E-3</v>
      </c>
      <c r="G575" s="12">
        <f t="shared" si="21"/>
        <v>-5.9646236116823736E-3</v>
      </c>
    </row>
    <row r="576" spans="1:7" x14ac:dyDescent="0.3">
      <c r="A576" t="s">
        <v>610</v>
      </c>
      <c r="B576">
        <v>360.69</v>
      </c>
      <c r="C576">
        <v>182.41</v>
      </c>
      <c r="D576">
        <v>46.95</v>
      </c>
      <c r="E576" s="12">
        <f t="shared" si="21"/>
        <v>-2.4291936051072605E-2</v>
      </c>
      <c r="F576" s="12">
        <f t="shared" si="21"/>
        <v>-2.1405579399141672E-2</v>
      </c>
      <c r="G576" s="12">
        <f t="shared" si="21"/>
        <v>-2.8553693358162491E-2</v>
      </c>
    </row>
    <row r="577" spans="1:7" x14ac:dyDescent="0.3">
      <c r="A577" t="s">
        <v>611</v>
      </c>
      <c r="B577">
        <v>363.2</v>
      </c>
      <c r="C577">
        <v>182.89</v>
      </c>
      <c r="D577">
        <v>46.57</v>
      </c>
      <c r="E577" s="12">
        <f t="shared" si="21"/>
        <v>6.95888436053127E-3</v>
      </c>
      <c r="F577" s="12">
        <f t="shared" si="21"/>
        <v>2.6314346801161737E-3</v>
      </c>
      <c r="G577" s="12">
        <f t="shared" si="21"/>
        <v>-8.0937167199148785E-3</v>
      </c>
    </row>
    <row r="578" spans="1:7" x14ac:dyDescent="0.3">
      <c r="A578" t="s">
        <v>612</v>
      </c>
      <c r="B578">
        <v>360.53</v>
      </c>
      <c r="C578">
        <v>181.82</v>
      </c>
      <c r="D578">
        <v>45.96</v>
      </c>
      <c r="E578" s="12">
        <f t="shared" si="21"/>
        <v>-7.3513215859031256E-3</v>
      </c>
      <c r="F578" s="12">
        <f t="shared" si="21"/>
        <v>-5.8505112362622347E-3</v>
      </c>
      <c r="G578" s="12">
        <f t="shared" si="21"/>
        <v>-1.3098561305561529E-2</v>
      </c>
    </row>
    <row r="579" spans="1:7" x14ac:dyDescent="0.3">
      <c r="A579" t="s">
        <v>613</v>
      </c>
      <c r="B579">
        <v>356.53</v>
      </c>
      <c r="C579">
        <v>179.23</v>
      </c>
      <c r="D579">
        <v>45.75</v>
      </c>
      <c r="E579" s="12">
        <f t="shared" si="21"/>
        <v>-1.1094777133664357E-2</v>
      </c>
      <c r="F579" s="12">
        <f t="shared" si="21"/>
        <v>-1.4244857551424461E-2</v>
      </c>
      <c r="G579" s="12">
        <f t="shared" si="21"/>
        <v>-4.5691906005221883E-3</v>
      </c>
    </row>
    <row r="580" spans="1:7" x14ac:dyDescent="0.3">
      <c r="A580" t="s">
        <v>614</v>
      </c>
      <c r="B580">
        <v>352.8</v>
      </c>
      <c r="C580">
        <v>176.65</v>
      </c>
      <c r="D580">
        <v>45.01</v>
      </c>
      <c r="E580" s="12">
        <f t="shared" ref="E580:G643" si="22">B580/B579-1</f>
        <v>-1.0461952710851707E-2</v>
      </c>
      <c r="F580" s="12">
        <f t="shared" si="22"/>
        <v>-1.439491156614392E-2</v>
      </c>
      <c r="G580" s="12">
        <f t="shared" si="22"/>
        <v>-1.6174863387978133E-2</v>
      </c>
    </row>
    <row r="581" spans="1:7" x14ac:dyDescent="0.3">
      <c r="A581" t="s">
        <v>615</v>
      </c>
      <c r="B581">
        <v>348.32</v>
      </c>
      <c r="C581">
        <v>177.57</v>
      </c>
      <c r="D581">
        <v>43.51</v>
      </c>
      <c r="E581" s="12">
        <f t="shared" si="22"/>
        <v>-1.2698412698412764E-2</v>
      </c>
      <c r="F581" s="12">
        <f t="shared" si="22"/>
        <v>5.2080384941974867E-3</v>
      </c>
      <c r="G581" s="12">
        <f t="shared" si="22"/>
        <v>-3.332592757165076E-2</v>
      </c>
    </row>
    <row r="582" spans="1:7" x14ac:dyDescent="0.3">
      <c r="A582" t="s">
        <v>616</v>
      </c>
      <c r="B582">
        <v>346.07</v>
      </c>
      <c r="C582">
        <v>173.97</v>
      </c>
      <c r="D582">
        <v>42.33</v>
      </c>
      <c r="E582" s="12">
        <f t="shared" si="22"/>
        <v>-6.4595774000918427E-3</v>
      </c>
      <c r="F582" s="12">
        <f t="shared" si="22"/>
        <v>-2.0273694880892035E-2</v>
      </c>
      <c r="G582" s="12">
        <f t="shared" si="22"/>
        <v>-2.7120202252355785E-2</v>
      </c>
    </row>
    <row r="583" spans="1:7" x14ac:dyDescent="0.3">
      <c r="A583" t="s">
        <v>617</v>
      </c>
      <c r="B583">
        <v>338.11</v>
      </c>
      <c r="C583">
        <v>170.77</v>
      </c>
      <c r="D583">
        <v>40.78</v>
      </c>
      <c r="E583" s="12">
        <f t="shared" si="22"/>
        <v>-2.3001126939636407E-2</v>
      </c>
      <c r="F583" s="12">
        <f t="shared" si="22"/>
        <v>-1.8393975972868848E-2</v>
      </c>
      <c r="G583" s="12">
        <f t="shared" si="22"/>
        <v>-3.6617056461138553E-2</v>
      </c>
    </row>
    <row r="584" spans="1:7" x14ac:dyDescent="0.3">
      <c r="A584" t="s">
        <v>618</v>
      </c>
      <c r="B584">
        <v>337.31</v>
      </c>
      <c r="C584">
        <v>170.29</v>
      </c>
      <c r="D584">
        <v>41.16</v>
      </c>
      <c r="E584" s="12">
        <f t="shared" si="22"/>
        <v>-2.3660938747744886E-3</v>
      </c>
      <c r="F584" s="12">
        <f t="shared" si="22"/>
        <v>-2.8107981495579804E-3</v>
      </c>
      <c r="G584" s="12">
        <f t="shared" si="22"/>
        <v>9.3182932810200736E-3</v>
      </c>
    </row>
    <row r="585" spans="1:7" x14ac:dyDescent="0.3">
      <c r="A585" t="s">
        <v>619</v>
      </c>
      <c r="B585">
        <v>329.81</v>
      </c>
      <c r="C585">
        <v>168.22</v>
      </c>
      <c r="D585">
        <v>40.5</v>
      </c>
      <c r="E585" s="12">
        <f t="shared" si="22"/>
        <v>-2.2234739557083993E-2</v>
      </c>
      <c r="F585" s="12">
        <f t="shared" si="22"/>
        <v>-1.2155734335545176E-2</v>
      </c>
      <c r="G585" s="12">
        <f t="shared" si="22"/>
        <v>-1.60349854227404E-2</v>
      </c>
    </row>
    <row r="586" spans="1:7" x14ac:dyDescent="0.3">
      <c r="A586" t="s">
        <v>620</v>
      </c>
      <c r="B586">
        <v>327.89</v>
      </c>
      <c r="C586">
        <v>166.89</v>
      </c>
      <c r="D586">
        <v>40.33</v>
      </c>
      <c r="E586" s="12">
        <f t="shared" si="22"/>
        <v>-5.8215336102604986E-3</v>
      </c>
      <c r="F586" s="12">
        <f t="shared" si="22"/>
        <v>-7.9063131613363868E-3</v>
      </c>
      <c r="G586" s="12">
        <f t="shared" si="22"/>
        <v>-4.1975308641976072E-3</v>
      </c>
    </row>
    <row r="587" spans="1:7" x14ac:dyDescent="0.3">
      <c r="A587" t="s">
        <v>621</v>
      </c>
      <c r="B587">
        <v>340.67</v>
      </c>
      <c r="C587">
        <v>171.1</v>
      </c>
      <c r="D587">
        <v>41.78</v>
      </c>
      <c r="E587" s="12">
        <f t="shared" si="22"/>
        <v>3.8976486016651934E-2</v>
      </c>
      <c r="F587" s="12">
        <f t="shared" si="22"/>
        <v>2.5226196896159125E-2</v>
      </c>
      <c r="G587" s="12">
        <f t="shared" si="22"/>
        <v>3.5953384577237957E-2</v>
      </c>
    </row>
    <row r="588" spans="1:7" x14ac:dyDescent="0.3">
      <c r="A588" t="s">
        <v>622</v>
      </c>
      <c r="B588">
        <v>330.53</v>
      </c>
      <c r="C588">
        <v>173.44</v>
      </c>
      <c r="D588">
        <v>43.66</v>
      </c>
      <c r="E588" s="12">
        <f t="shared" si="22"/>
        <v>-2.9764875099069554E-2</v>
      </c>
      <c r="F588" s="12">
        <f t="shared" si="22"/>
        <v>1.3676212741087213E-2</v>
      </c>
      <c r="G588" s="12">
        <f t="shared" si="22"/>
        <v>4.4997606510291943E-2</v>
      </c>
    </row>
    <row r="589" spans="1:7" x14ac:dyDescent="0.3">
      <c r="A589" t="s">
        <v>623</v>
      </c>
      <c r="B589">
        <v>329.32</v>
      </c>
      <c r="C589">
        <v>173</v>
      </c>
      <c r="D589">
        <v>42.97</v>
      </c>
      <c r="E589" s="12">
        <f t="shared" si="22"/>
        <v>-3.6607872205245418E-3</v>
      </c>
      <c r="F589" s="12">
        <f t="shared" si="22"/>
        <v>-2.5369003690036696E-3</v>
      </c>
      <c r="G589" s="12">
        <f t="shared" si="22"/>
        <v>-1.5803939532753053E-2</v>
      </c>
    </row>
    <row r="590" spans="1:7" x14ac:dyDescent="0.3">
      <c r="A590" t="s">
        <v>624</v>
      </c>
      <c r="B590">
        <v>326.67</v>
      </c>
      <c r="C590">
        <v>172.88</v>
      </c>
      <c r="D590">
        <v>41.39</v>
      </c>
      <c r="E590" s="12">
        <f t="shared" si="22"/>
        <v>-8.0468844892505054E-3</v>
      </c>
      <c r="F590" s="12">
        <f t="shared" si="22"/>
        <v>-6.9364161849716499E-4</v>
      </c>
      <c r="G590" s="12">
        <f t="shared" si="22"/>
        <v>-3.6769839422853168E-2</v>
      </c>
    </row>
    <row r="591" spans="1:7" x14ac:dyDescent="0.3">
      <c r="A591" t="s">
        <v>625</v>
      </c>
      <c r="B591">
        <v>331.32</v>
      </c>
      <c r="C591">
        <v>175.46</v>
      </c>
      <c r="D591">
        <v>42.1</v>
      </c>
      <c r="E591" s="12">
        <f t="shared" si="22"/>
        <v>1.4234548627054755E-2</v>
      </c>
      <c r="F591" s="12">
        <f t="shared" si="22"/>
        <v>1.492364645997224E-2</v>
      </c>
      <c r="G591" s="12">
        <f t="shared" si="22"/>
        <v>1.7153901908673719E-2</v>
      </c>
    </row>
    <row r="592" spans="1:7" x14ac:dyDescent="0.3">
      <c r="A592" t="s">
        <v>626</v>
      </c>
      <c r="B592">
        <v>330.11</v>
      </c>
      <c r="C592">
        <v>175.84</v>
      </c>
      <c r="D592">
        <v>42.2</v>
      </c>
      <c r="E592" s="12">
        <f t="shared" si="22"/>
        <v>-3.6520584329348127E-3</v>
      </c>
      <c r="F592" s="12">
        <f t="shared" si="22"/>
        <v>2.1657357802347121E-3</v>
      </c>
      <c r="G592" s="12">
        <f t="shared" si="22"/>
        <v>2.3752969121140222E-3</v>
      </c>
    </row>
    <row r="593" spans="1:7" x14ac:dyDescent="0.3">
      <c r="A593" t="s">
        <v>627</v>
      </c>
      <c r="B593">
        <v>332.06</v>
      </c>
      <c r="C593">
        <v>177.15</v>
      </c>
      <c r="D593">
        <v>43.94</v>
      </c>
      <c r="E593" s="12">
        <f t="shared" si="22"/>
        <v>5.9071218684680904E-3</v>
      </c>
      <c r="F593" s="12">
        <f t="shared" si="22"/>
        <v>7.4499545040946913E-3</v>
      </c>
      <c r="G593" s="12">
        <f t="shared" si="22"/>
        <v>4.1232227488151585E-2</v>
      </c>
    </row>
    <row r="594" spans="1:7" x14ac:dyDescent="0.3">
      <c r="A594" t="s">
        <v>628</v>
      </c>
      <c r="B594">
        <v>332.64</v>
      </c>
      <c r="C594">
        <v>178.72</v>
      </c>
      <c r="D594">
        <v>46.1</v>
      </c>
      <c r="E594" s="12">
        <f t="shared" si="22"/>
        <v>1.7466722881407382E-3</v>
      </c>
      <c r="F594" s="12">
        <f t="shared" si="22"/>
        <v>8.8625458650859468E-3</v>
      </c>
      <c r="G594" s="12">
        <f t="shared" si="22"/>
        <v>4.9157942649066921E-2</v>
      </c>
    </row>
    <row r="595" spans="1:7" x14ac:dyDescent="0.3">
      <c r="A595" t="s">
        <v>629</v>
      </c>
      <c r="B595">
        <v>327.73</v>
      </c>
      <c r="C595">
        <v>178.85</v>
      </c>
      <c r="D595">
        <v>45.46</v>
      </c>
      <c r="E595" s="12">
        <f t="shared" si="22"/>
        <v>-1.4760702260702141E-2</v>
      </c>
      <c r="F595" s="12">
        <f t="shared" si="22"/>
        <v>7.2739480752015417E-4</v>
      </c>
      <c r="G595" s="12">
        <f t="shared" si="22"/>
        <v>-1.3882863340563989E-2</v>
      </c>
    </row>
    <row r="596" spans="1:7" x14ac:dyDescent="0.3">
      <c r="A596" t="s">
        <v>630</v>
      </c>
      <c r="B596">
        <v>331.16</v>
      </c>
      <c r="C596">
        <v>180.71</v>
      </c>
      <c r="D596">
        <v>46.94</v>
      </c>
      <c r="E596" s="12">
        <f t="shared" si="22"/>
        <v>1.0465932322338611E-2</v>
      </c>
      <c r="F596" s="12">
        <f t="shared" si="22"/>
        <v>1.0399776348895884E-2</v>
      </c>
      <c r="G596" s="12">
        <f t="shared" si="22"/>
        <v>3.2556093268807595E-2</v>
      </c>
    </row>
    <row r="597" spans="1:7" x14ac:dyDescent="0.3">
      <c r="A597" t="s">
        <v>631</v>
      </c>
      <c r="B597">
        <v>332.42</v>
      </c>
      <c r="C597">
        <v>179.8</v>
      </c>
      <c r="D597">
        <v>46.81</v>
      </c>
      <c r="E597" s="12">
        <f t="shared" si="22"/>
        <v>3.8048073438821106E-3</v>
      </c>
      <c r="F597" s="12">
        <f t="shared" si="22"/>
        <v>-5.0356925460682822E-3</v>
      </c>
      <c r="G597" s="12">
        <f t="shared" si="22"/>
        <v>-2.7694929697484882E-3</v>
      </c>
    </row>
    <row r="598" spans="1:7" x14ac:dyDescent="0.3">
      <c r="A598" t="s">
        <v>632</v>
      </c>
      <c r="B598">
        <v>328.39</v>
      </c>
      <c r="C598">
        <v>178.39</v>
      </c>
      <c r="D598">
        <v>45.8</v>
      </c>
      <c r="E598" s="12">
        <f t="shared" si="22"/>
        <v>-1.2123217616268667E-2</v>
      </c>
      <c r="F598" s="12">
        <f t="shared" si="22"/>
        <v>-7.8420467185763565E-3</v>
      </c>
      <c r="G598" s="12">
        <f t="shared" si="22"/>
        <v>-2.1576586199530068E-2</v>
      </c>
    </row>
    <row r="599" spans="1:7" x14ac:dyDescent="0.3">
      <c r="A599" t="s">
        <v>633</v>
      </c>
      <c r="B599">
        <v>329.82</v>
      </c>
      <c r="C599">
        <v>178.99</v>
      </c>
      <c r="D599">
        <v>45.27</v>
      </c>
      <c r="E599" s="12">
        <f t="shared" si="22"/>
        <v>4.3545783976370878E-3</v>
      </c>
      <c r="F599" s="12">
        <f t="shared" si="22"/>
        <v>3.3634172319076949E-3</v>
      </c>
      <c r="G599" s="12">
        <f t="shared" si="22"/>
        <v>-1.1572052401746635E-2</v>
      </c>
    </row>
    <row r="600" spans="1:7" x14ac:dyDescent="0.3">
      <c r="A600" t="s">
        <v>634</v>
      </c>
      <c r="B600">
        <v>327.26</v>
      </c>
      <c r="C600">
        <v>177.49</v>
      </c>
      <c r="D600">
        <v>45.76</v>
      </c>
      <c r="E600" s="12">
        <f t="shared" si="22"/>
        <v>-7.7618094718331365E-3</v>
      </c>
      <c r="F600" s="12">
        <f t="shared" si="22"/>
        <v>-8.3803564444940859E-3</v>
      </c>
      <c r="G600" s="12">
        <f t="shared" si="22"/>
        <v>1.0823945217583342E-2</v>
      </c>
    </row>
    <row r="601" spans="1:7" x14ac:dyDescent="0.3">
      <c r="A601" t="s">
        <v>635</v>
      </c>
      <c r="B601">
        <v>319.36</v>
      </c>
      <c r="C601">
        <v>174.91</v>
      </c>
      <c r="D601">
        <v>44.69</v>
      </c>
      <c r="E601" s="12">
        <f t="shared" si="22"/>
        <v>-2.4139827659964475E-2</v>
      </c>
      <c r="F601" s="12">
        <f t="shared" si="22"/>
        <v>-1.4536030198884498E-2</v>
      </c>
      <c r="G601" s="12">
        <f t="shared" si="22"/>
        <v>-2.3382867132867191E-2</v>
      </c>
    </row>
    <row r="602" spans="1:7" x14ac:dyDescent="0.3">
      <c r="A602" t="s">
        <v>636</v>
      </c>
      <c r="B602">
        <v>318.95</v>
      </c>
      <c r="C602">
        <v>173.66</v>
      </c>
      <c r="D602">
        <v>44.04</v>
      </c>
      <c r="E602" s="12">
        <f t="shared" si="22"/>
        <v>-1.2838176352706343E-3</v>
      </c>
      <c r="F602" s="12">
        <f t="shared" si="22"/>
        <v>-7.1465325024298032E-3</v>
      </c>
      <c r="G602" s="12">
        <f t="shared" si="22"/>
        <v>-1.4544640859252556E-2</v>
      </c>
    </row>
    <row r="603" spans="1:7" x14ac:dyDescent="0.3">
      <c r="A603" t="s">
        <v>637</v>
      </c>
      <c r="B603">
        <v>313.39</v>
      </c>
      <c r="C603">
        <v>172.4</v>
      </c>
      <c r="D603">
        <v>43.52</v>
      </c>
      <c r="E603" s="12">
        <f t="shared" si="22"/>
        <v>-1.7432199404295301E-2</v>
      </c>
      <c r="F603" s="12">
        <f t="shared" si="22"/>
        <v>-7.2555568351951871E-3</v>
      </c>
      <c r="G603" s="12">
        <f t="shared" si="22"/>
        <v>-1.1807447774750179E-2</v>
      </c>
    </row>
    <row r="604" spans="1:7" x14ac:dyDescent="0.3">
      <c r="A604" t="s">
        <v>638</v>
      </c>
      <c r="B604">
        <v>321.8</v>
      </c>
      <c r="C604">
        <v>173.75</v>
      </c>
      <c r="D604">
        <v>44.78</v>
      </c>
      <c r="E604" s="12">
        <f t="shared" si="22"/>
        <v>2.6835572290117904E-2</v>
      </c>
      <c r="F604" s="12">
        <f t="shared" si="22"/>
        <v>7.8306264501160072E-3</v>
      </c>
      <c r="G604" s="12">
        <f t="shared" si="22"/>
        <v>2.8952205882352811E-2</v>
      </c>
    </row>
    <row r="605" spans="1:7" x14ac:dyDescent="0.3">
      <c r="A605" t="s">
        <v>639</v>
      </c>
      <c r="B605">
        <v>315.75</v>
      </c>
      <c r="C605">
        <v>171.21</v>
      </c>
      <c r="D605">
        <v>43.5</v>
      </c>
      <c r="E605" s="12">
        <f t="shared" si="22"/>
        <v>-1.8800497203231847E-2</v>
      </c>
      <c r="F605" s="12">
        <f t="shared" si="22"/>
        <v>-1.461870503597118E-2</v>
      </c>
      <c r="G605" s="12">
        <f t="shared" si="22"/>
        <v>-2.8584189370254642E-2</v>
      </c>
    </row>
    <row r="606" spans="1:7" x14ac:dyDescent="0.3">
      <c r="A606" t="s">
        <v>640</v>
      </c>
      <c r="B606">
        <v>313.64</v>
      </c>
      <c r="C606">
        <v>170.69</v>
      </c>
      <c r="D606">
        <v>43.09</v>
      </c>
      <c r="E606" s="12">
        <f t="shared" si="22"/>
        <v>-6.6825019794141127E-3</v>
      </c>
      <c r="F606" s="12">
        <f t="shared" si="22"/>
        <v>-3.0372057706909983E-3</v>
      </c>
      <c r="G606" s="12">
        <f t="shared" si="22"/>
        <v>-9.4252873563217543E-3</v>
      </c>
    </row>
    <row r="607" spans="1:7" x14ac:dyDescent="0.3">
      <c r="A607" t="s">
        <v>641</v>
      </c>
      <c r="B607">
        <v>312.79000000000002</v>
      </c>
      <c r="C607">
        <v>170.43</v>
      </c>
      <c r="D607">
        <v>42.47</v>
      </c>
      <c r="E607" s="12">
        <f t="shared" si="22"/>
        <v>-2.7101135059303116E-3</v>
      </c>
      <c r="F607" s="12">
        <f t="shared" si="22"/>
        <v>-1.5232292460014563E-3</v>
      </c>
      <c r="G607" s="12">
        <f t="shared" si="22"/>
        <v>-1.4388489208633226E-2</v>
      </c>
    </row>
    <row r="608" spans="1:7" x14ac:dyDescent="0.3">
      <c r="A608" t="s">
        <v>642</v>
      </c>
      <c r="B608">
        <v>312.14</v>
      </c>
      <c r="C608">
        <v>171.96</v>
      </c>
      <c r="D608">
        <v>41.91</v>
      </c>
      <c r="E608" s="12">
        <f t="shared" si="22"/>
        <v>-2.0780715496020452E-3</v>
      </c>
      <c r="F608" s="12">
        <f t="shared" si="22"/>
        <v>8.9772927301532413E-3</v>
      </c>
      <c r="G608" s="12">
        <f t="shared" si="22"/>
        <v>-1.3185778196374009E-2</v>
      </c>
    </row>
    <row r="609" spans="1:7" x14ac:dyDescent="0.3">
      <c r="A609" t="s">
        <v>643</v>
      </c>
      <c r="B609">
        <v>317.54000000000002</v>
      </c>
      <c r="C609">
        <v>176.08</v>
      </c>
      <c r="D609">
        <v>42.22</v>
      </c>
      <c r="E609" s="12">
        <f t="shared" si="22"/>
        <v>1.7299929518805879E-2</v>
      </c>
      <c r="F609" s="12">
        <f t="shared" si="22"/>
        <v>2.3959060246568908E-2</v>
      </c>
      <c r="G609" s="12">
        <f t="shared" si="22"/>
        <v>7.3968026723931768E-3</v>
      </c>
    </row>
    <row r="610" spans="1:7" x14ac:dyDescent="0.3">
      <c r="A610" t="s">
        <v>644</v>
      </c>
      <c r="B610">
        <v>317.01</v>
      </c>
      <c r="C610">
        <v>174.79</v>
      </c>
      <c r="D610">
        <v>41.61</v>
      </c>
      <c r="E610" s="12">
        <f t="shared" si="22"/>
        <v>-1.6690810606538875E-3</v>
      </c>
      <c r="F610" s="12">
        <f t="shared" si="22"/>
        <v>-7.3262153566562294E-3</v>
      </c>
      <c r="G610" s="12">
        <f t="shared" si="22"/>
        <v>-1.4448128848886799E-2</v>
      </c>
    </row>
    <row r="611" spans="1:7" x14ac:dyDescent="0.3">
      <c r="A611" t="s">
        <v>645</v>
      </c>
      <c r="B611">
        <v>319.52999999999997</v>
      </c>
      <c r="C611">
        <v>173.93</v>
      </c>
      <c r="D611">
        <v>41.02</v>
      </c>
      <c r="E611" s="12">
        <f t="shared" si="22"/>
        <v>7.9492760480741609E-3</v>
      </c>
      <c r="F611" s="12">
        <f t="shared" si="22"/>
        <v>-4.9201899422163242E-3</v>
      </c>
      <c r="G611" s="12">
        <f t="shared" si="22"/>
        <v>-1.4179283826003308E-2</v>
      </c>
    </row>
    <row r="612" spans="1:7" x14ac:dyDescent="0.3">
      <c r="A612" t="s">
        <v>646</v>
      </c>
      <c r="B612">
        <v>320.77</v>
      </c>
      <c r="C612">
        <v>175.49</v>
      </c>
      <c r="D612">
        <v>42.24</v>
      </c>
      <c r="E612" s="12">
        <f t="shared" si="22"/>
        <v>3.8806997777987018E-3</v>
      </c>
      <c r="F612" s="12">
        <f t="shared" si="22"/>
        <v>8.9691255102628542E-3</v>
      </c>
      <c r="G612" s="12">
        <f t="shared" si="22"/>
        <v>2.9741589468551988E-2</v>
      </c>
    </row>
    <row r="613" spans="1:7" x14ac:dyDescent="0.3">
      <c r="A613" t="s">
        <v>647</v>
      </c>
      <c r="B613">
        <v>328.65</v>
      </c>
      <c r="C613">
        <v>179.07</v>
      </c>
      <c r="D613">
        <v>43.52</v>
      </c>
      <c r="E613" s="12">
        <f t="shared" si="22"/>
        <v>2.456588833120299E-2</v>
      </c>
      <c r="F613" s="12">
        <f t="shared" si="22"/>
        <v>2.0400022793321426E-2</v>
      </c>
      <c r="G613" s="12">
        <f t="shared" si="22"/>
        <v>3.0303030303030276E-2</v>
      </c>
    </row>
    <row r="614" spans="1:7" x14ac:dyDescent="0.3">
      <c r="A614" t="s">
        <v>648</v>
      </c>
      <c r="B614">
        <v>329.06</v>
      </c>
      <c r="C614">
        <v>177.97</v>
      </c>
      <c r="D614">
        <v>43.97</v>
      </c>
      <c r="E614" s="12">
        <f t="shared" si="22"/>
        <v>1.2475277650996208E-3</v>
      </c>
      <c r="F614" s="12">
        <f t="shared" si="22"/>
        <v>-6.1428491651309702E-3</v>
      </c>
      <c r="G614" s="12">
        <f t="shared" si="22"/>
        <v>1.0340073529411686E-2</v>
      </c>
    </row>
    <row r="615" spans="1:7" x14ac:dyDescent="0.3">
      <c r="A615" t="s">
        <v>649</v>
      </c>
      <c r="B615">
        <v>330.22</v>
      </c>
      <c r="C615">
        <v>175.01</v>
      </c>
      <c r="D615">
        <v>43.9</v>
      </c>
      <c r="E615" s="12">
        <f t="shared" si="22"/>
        <v>3.5251929739257282E-3</v>
      </c>
      <c r="F615" s="12">
        <f t="shared" si="22"/>
        <v>-1.6632016632016633E-2</v>
      </c>
      <c r="G615" s="12">
        <f t="shared" si="22"/>
        <v>-1.5919945417329773E-3</v>
      </c>
    </row>
    <row r="616" spans="1:7" x14ac:dyDescent="0.3">
      <c r="A616" t="s">
        <v>650</v>
      </c>
      <c r="B616">
        <v>338.7</v>
      </c>
      <c r="C616">
        <v>175.74</v>
      </c>
      <c r="D616">
        <v>45.58</v>
      </c>
      <c r="E616" s="12">
        <f t="shared" si="22"/>
        <v>2.5679849797104914E-2</v>
      </c>
      <c r="F616" s="12">
        <f t="shared" si="22"/>
        <v>4.1711902177019589E-3</v>
      </c>
      <c r="G616" s="12">
        <f t="shared" si="22"/>
        <v>3.8268792710706157E-2</v>
      </c>
    </row>
    <row r="617" spans="1:7" x14ac:dyDescent="0.3">
      <c r="A617" t="s">
        <v>651</v>
      </c>
      <c r="B617">
        <v>336.06</v>
      </c>
      <c r="C617">
        <v>174.21</v>
      </c>
      <c r="D617">
        <v>45.49</v>
      </c>
      <c r="E617" s="12">
        <f t="shared" si="22"/>
        <v>-7.7945084145261134E-3</v>
      </c>
      <c r="F617" s="12">
        <f t="shared" si="22"/>
        <v>-8.7060430180949666E-3</v>
      </c>
      <c r="G617" s="12">
        <f t="shared" si="22"/>
        <v>-1.9745502413338611E-3</v>
      </c>
    </row>
    <row r="618" spans="1:7" x14ac:dyDescent="0.3">
      <c r="A618" t="s">
        <v>652</v>
      </c>
      <c r="B618">
        <v>331.77</v>
      </c>
      <c r="C618">
        <v>176.3</v>
      </c>
      <c r="D618">
        <v>44.87</v>
      </c>
      <c r="E618" s="12">
        <f t="shared" si="22"/>
        <v>-1.2765577575433062E-2</v>
      </c>
      <c r="F618" s="12">
        <f t="shared" si="22"/>
        <v>1.1997015096722352E-2</v>
      </c>
      <c r="G618" s="12">
        <f t="shared" si="22"/>
        <v>-1.3629369092108212E-2</v>
      </c>
    </row>
    <row r="619" spans="1:7" x14ac:dyDescent="0.3">
      <c r="A619" t="s">
        <v>653</v>
      </c>
      <c r="B619">
        <v>337.94</v>
      </c>
      <c r="C619">
        <v>179.36</v>
      </c>
      <c r="D619">
        <v>45.18</v>
      </c>
      <c r="E619" s="12">
        <f t="shared" si="22"/>
        <v>1.8597220966332095E-2</v>
      </c>
      <c r="F619" s="12">
        <f t="shared" si="22"/>
        <v>1.735677821894499E-2</v>
      </c>
      <c r="G619" s="12">
        <f t="shared" si="22"/>
        <v>6.9088477824827965E-3</v>
      </c>
    </row>
    <row r="620" spans="1:7" x14ac:dyDescent="0.3">
      <c r="A620" t="s">
        <v>654</v>
      </c>
      <c r="B620">
        <v>334.27</v>
      </c>
      <c r="C620">
        <v>178.18</v>
      </c>
      <c r="D620">
        <v>45.57</v>
      </c>
      <c r="E620" s="12">
        <f t="shared" si="22"/>
        <v>-1.0859915961413336E-2</v>
      </c>
      <c r="F620" s="12">
        <f t="shared" si="22"/>
        <v>-6.5789473684211286E-3</v>
      </c>
      <c r="G620" s="12">
        <f t="shared" si="22"/>
        <v>8.6321381142098197E-3</v>
      </c>
    </row>
    <row r="621" spans="1:7" x14ac:dyDescent="0.3">
      <c r="A621" t="s">
        <v>655</v>
      </c>
      <c r="B621">
        <v>329.91</v>
      </c>
      <c r="C621">
        <v>177.56</v>
      </c>
      <c r="D621">
        <v>46.24</v>
      </c>
      <c r="E621" s="12">
        <f t="shared" si="22"/>
        <v>-1.3043348191581483E-2</v>
      </c>
      <c r="F621" s="12">
        <f t="shared" si="22"/>
        <v>-3.4796273431362268E-3</v>
      </c>
      <c r="G621" s="12">
        <f t="shared" si="22"/>
        <v>1.4702655255650621E-2</v>
      </c>
    </row>
    <row r="622" spans="1:7" x14ac:dyDescent="0.3">
      <c r="A622" t="s">
        <v>656</v>
      </c>
      <c r="B622">
        <v>332.88</v>
      </c>
      <c r="C622">
        <v>182.91</v>
      </c>
      <c r="D622">
        <v>47.06</v>
      </c>
      <c r="E622" s="12">
        <f t="shared" si="22"/>
        <v>9.0024552150584913E-3</v>
      </c>
      <c r="F622" s="12">
        <f t="shared" si="22"/>
        <v>3.013066005857179E-2</v>
      </c>
      <c r="G622" s="12">
        <f t="shared" si="22"/>
        <v>1.7733564013840741E-2</v>
      </c>
    </row>
    <row r="623" spans="1:7" x14ac:dyDescent="0.3">
      <c r="A623" t="s">
        <v>657</v>
      </c>
      <c r="B623">
        <v>333.55</v>
      </c>
      <c r="C623">
        <v>189.7</v>
      </c>
      <c r="D623">
        <v>48.55</v>
      </c>
      <c r="E623" s="12">
        <f t="shared" si="22"/>
        <v>2.0127373227589729E-3</v>
      </c>
      <c r="F623" s="12">
        <f t="shared" si="22"/>
        <v>3.7122081898201209E-2</v>
      </c>
      <c r="G623" s="12">
        <f t="shared" si="22"/>
        <v>3.1661708457288551E-2</v>
      </c>
    </row>
    <row r="624" spans="1:7" x14ac:dyDescent="0.3">
      <c r="A624" t="s">
        <v>658</v>
      </c>
      <c r="B624">
        <v>328.66</v>
      </c>
      <c r="C624">
        <v>189.46</v>
      </c>
      <c r="D624">
        <v>48.51</v>
      </c>
      <c r="E624" s="12">
        <f t="shared" si="22"/>
        <v>-1.4660470694048855E-2</v>
      </c>
      <c r="F624" s="12">
        <f t="shared" si="22"/>
        <v>-1.2651555086978794E-3</v>
      </c>
      <c r="G624" s="12">
        <f t="shared" si="22"/>
        <v>-8.2389289392381659E-4</v>
      </c>
    </row>
    <row r="625" spans="1:7" x14ac:dyDescent="0.3">
      <c r="A625" t="s">
        <v>659</v>
      </c>
      <c r="B625">
        <v>327.76</v>
      </c>
      <c r="C625">
        <v>187.87</v>
      </c>
      <c r="D625">
        <v>49.35</v>
      </c>
      <c r="E625" s="12">
        <f t="shared" si="22"/>
        <v>-2.7383922594780286E-3</v>
      </c>
      <c r="F625" s="12">
        <f t="shared" si="22"/>
        <v>-8.3922727752560045E-3</v>
      </c>
      <c r="G625" s="12">
        <f t="shared" si="22"/>
        <v>1.7316017316017396E-2</v>
      </c>
    </row>
    <row r="626" spans="1:7" x14ac:dyDescent="0.3">
      <c r="A626" t="s">
        <v>660</v>
      </c>
      <c r="B626">
        <v>328.79</v>
      </c>
      <c r="C626">
        <v>187.65</v>
      </c>
      <c r="D626">
        <v>49.26</v>
      </c>
      <c r="E626" s="12">
        <f t="shared" si="22"/>
        <v>3.1425433243836842E-3</v>
      </c>
      <c r="F626" s="12">
        <f t="shared" si="22"/>
        <v>-1.17102251556922E-3</v>
      </c>
      <c r="G626" s="12">
        <f t="shared" si="22"/>
        <v>-1.8237082066869803E-3</v>
      </c>
    </row>
    <row r="627" spans="1:7" x14ac:dyDescent="0.3">
      <c r="A627" t="s">
        <v>661</v>
      </c>
      <c r="B627">
        <v>328.41</v>
      </c>
      <c r="C627">
        <v>184.12</v>
      </c>
      <c r="D627">
        <v>48.78</v>
      </c>
      <c r="E627" s="12">
        <f t="shared" si="22"/>
        <v>-1.1557529121931642E-3</v>
      </c>
      <c r="F627" s="12">
        <f t="shared" si="22"/>
        <v>-1.8811617372768485E-2</v>
      </c>
      <c r="G627" s="12">
        <f t="shared" si="22"/>
        <v>-9.744214372716109E-3</v>
      </c>
    </row>
    <row r="628" spans="1:7" x14ac:dyDescent="0.3">
      <c r="A628" t="s">
        <v>662</v>
      </c>
      <c r="B628">
        <v>323.7</v>
      </c>
      <c r="C628">
        <v>180.19</v>
      </c>
      <c r="D628">
        <v>46.83</v>
      </c>
      <c r="E628" s="12">
        <f t="shared" si="22"/>
        <v>-1.4341828811546664E-2</v>
      </c>
      <c r="F628" s="12">
        <f t="shared" si="22"/>
        <v>-2.1344775146643569E-2</v>
      </c>
      <c r="G628" s="12">
        <f t="shared" si="22"/>
        <v>-3.9975399753997554E-2</v>
      </c>
    </row>
    <row r="629" spans="1:7" x14ac:dyDescent="0.3">
      <c r="A629" t="s">
        <v>663</v>
      </c>
      <c r="B629">
        <v>322.98</v>
      </c>
      <c r="C629">
        <v>178.61</v>
      </c>
      <c r="D629">
        <v>46.02</v>
      </c>
      <c r="E629" s="12">
        <f t="shared" si="22"/>
        <v>-2.2242817423538952E-3</v>
      </c>
      <c r="F629" s="12">
        <f t="shared" si="22"/>
        <v>-8.7685221155445747E-3</v>
      </c>
      <c r="G629" s="12">
        <f t="shared" si="22"/>
        <v>-1.7296604740550836E-2</v>
      </c>
    </row>
    <row r="630" spans="1:7" x14ac:dyDescent="0.3">
      <c r="A630" t="s">
        <v>664</v>
      </c>
      <c r="B630">
        <v>319.97000000000003</v>
      </c>
      <c r="C630">
        <v>176.38</v>
      </c>
      <c r="D630">
        <v>47.16</v>
      </c>
      <c r="E630" s="12">
        <f t="shared" si="22"/>
        <v>-9.3194625054182634E-3</v>
      </c>
      <c r="F630" s="12">
        <f t="shared" si="22"/>
        <v>-1.2485303174514351E-2</v>
      </c>
      <c r="G630" s="12">
        <f t="shared" si="22"/>
        <v>2.4771838331160145E-2</v>
      </c>
    </row>
    <row r="631" spans="1:7" x14ac:dyDescent="0.3">
      <c r="A631" t="s">
        <v>665</v>
      </c>
      <c r="B631">
        <v>327</v>
      </c>
      <c r="C631">
        <v>181.12</v>
      </c>
      <c r="D631">
        <v>47.12</v>
      </c>
      <c r="E631" s="12">
        <f t="shared" si="22"/>
        <v>2.1970809763415255E-2</v>
      </c>
      <c r="F631" s="12">
        <f t="shared" si="22"/>
        <v>2.6873795214876983E-2</v>
      </c>
      <c r="G631" s="12">
        <f t="shared" si="22"/>
        <v>-8.4817642069545673E-4</v>
      </c>
    </row>
    <row r="632" spans="1:7" x14ac:dyDescent="0.3">
      <c r="A632" t="s">
        <v>666</v>
      </c>
      <c r="B632">
        <v>322.45999999999998</v>
      </c>
      <c r="C632">
        <v>177.23</v>
      </c>
      <c r="D632">
        <v>45.67</v>
      </c>
      <c r="E632" s="12">
        <f t="shared" si="22"/>
        <v>-1.3883792048929755E-2</v>
      </c>
      <c r="F632" s="12">
        <f t="shared" si="22"/>
        <v>-2.1477473498233257E-2</v>
      </c>
      <c r="G632" s="12">
        <f t="shared" si="22"/>
        <v>-3.077249575551777E-2</v>
      </c>
    </row>
    <row r="633" spans="1:7" x14ac:dyDescent="0.3">
      <c r="A633" t="s">
        <v>667</v>
      </c>
      <c r="B633">
        <v>321.88</v>
      </c>
      <c r="C633">
        <v>175.84</v>
      </c>
      <c r="D633">
        <v>46.97</v>
      </c>
      <c r="E633" s="12">
        <f t="shared" si="22"/>
        <v>-1.798672703591131E-3</v>
      </c>
      <c r="F633" s="12">
        <f t="shared" si="22"/>
        <v>-7.8429159848782959E-3</v>
      </c>
      <c r="G633" s="12">
        <f t="shared" si="22"/>
        <v>2.8465075541931117E-2</v>
      </c>
    </row>
    <row r="634" spans="1:7" x14ac:dyDescent="0.3">
      <c r="A634" t="s">
        <v>668</v>
      </c>
      <c r="B634">
        <v>316.48</v>
      </c>
      <c r="C634">
        <v>174.49</v>
      </c>
      <c r="D634">
        <v>43.3</v>
      </c>
      <c r="E634" s="12">
        <f t="shared" si="22"/>
        <v>-1.6776438424257467E-2</v>
      </c>
      <c r="F634" s="12">
        <f t="shared" si="22"/>
        <v>-7.6774340309372358E-3</v>
      </c>
      <c r="G634" s="12">
        <f t="shared" si="22"/>
        <v>-7.8134979774324043E-2</v>
      </c>
    </row>
    <row r="635" spans="1:7" x14ac:dyDescent="0.3">
      <c r="A635" t="s">
        <v>669</v>
      </c>
      <c r="B635">
        <v>316.88</v>
      </c>
      <c r="C635">
        <v>174</v>
      </c>
      <c r="D635">
        <v>43.34</v>
      </c>
      <c r="E635" s="12">
        <f t="shared" si="22"/>
        <v>1.2639029322547568E-3</v>
      </c>
      <c r="F635" s="12">
        <f t="shared" si="22"/>
        <v>-2.808183850077417E-3</v>
      </c>
      <c r="G635" s="12">
        <f t="shared" si="22"/>
        <v>9.237875288685693E-4</v>
      </c>
    </row>
    <row r="636" spans="1:7" x14ac:dyDescent="0.3">
      <c r="A636" t="s">
        <v>670</v>
      </c>
      <c r="B636">
        <v>320.39999999999998</v>
      </c>
      <c r="C636">
        <v>176.57</v>
      </c>
      <c r="D636">
        <v>43.49</v>
      </c>
      <c r="E636" s="12">
        <f t="shared" si="22"/>
        <v>1.1108305983337452E-2</v>
      </c>
      <c r="F636" s="12">
        <f t="shared" si="22"/>
        <v>1.4770114942528778E-2</v>
      </c>
      <c r="G636" s="12">
        <f t="shared" si="22"/>
        <v>3.4610059990769493E-3</v>
      </c>
    </row>
    <row r="637" spans="1:7" x14ac:dyDescent="0.3">
      <c r="A637" t="s">
        <v>671</v>
      </c>
      <c r="B637">
        <v>321.86</v>
      </c>
      <c r="C637">
        <v>177.45</v>
      </c>
      <c r="D637">
        <v>43.94</v>
      </c>
      <c r="E637" s="12">
        <f t="shared" si="22"/>
        <v>4.5568039950063532E-3</v>
      </c>
      <c r="F637" s="12">
        <f t="shared" si="22"/>
        <v>4.9838590927111515E-3</v>
      </c>
      <c r="G637" s="12">
        <f t="shared" si="22"/>
        <v>1.0347206254311292E-2</v>
      </c>
    </row>
    <row r="638" spans="1:7" x14ac:dyDescent="0.3">
      <c r="A638" t="s">
        <v>672</v>
      </c>
      <c r="B638">
        <v>324.04000000000002</v>
      </c>
      <c r="C638">
        <v>179.46</v>
      </c>
      <c r="D638">
        <v>43.75</v>
      </c>
      <c r="E638" s="12">
        <f t="shared" si="22"/>
        <v>6.7731311750449663E-3</v>
      </c>
      <c r="F638" s="12">
        <f t="shared" si="22"/>
        <v>1.1327134404057526E-2</v>
      </c>
      <c r="G638" s="12">
        <f t="shared" si="22"/>
        <v>-4.3240782885752838E-3</v>
      </c>
    </row>
    <row r="639" spans="1:7" x14ac:dyDescent="0.3">
      <c r="A639" t="s">
        <v>673</v>
      </c>
      <c r="B639">
        <v>321.01</v>
      </c>
      <c r="C639">
        <v>177.79</v>
      </c>
      <c r="D639">
        <v>40.85</v>
      </c>
      <c r="E639" s="12">
        <f t="shared" si="22"/>
        <v>-9.3506974447600255E-3</v>
      </c>
      <c r="F639" s="12">
        <f t="shared" si="22"/>
        <v>-9.3056948623649882E-3</v>
      </c>
      <c r="G639" s="12">
        <f t="shared" si="22"/>
        <v>-6.6285714285714281E-2</v>
      </c>
    </row>
    <row r="640" spans="1:7" x14ac:dyDescent="0.3">
      <c r="A640" t="s">
        <v>674</v>
      </c>
      <c r="B640">
        <v>322.93</v>
      </c>
      <c r="C640">
        <v>177.97</v>
      </c>
      <c r="D640">
        <v>42.39</v>
      </c>
      <c r="E640" s="12">
        <f t="shared" si="22"/>
        <v>5.9811220834242729E-3</v>
      </c>
      <c r="F640" s="12">
        <f t="shared" si="22"/>
        <v>1.0124303954104352E-3</v>
      </c>
      <c r="G640" s="12">
        <f t="shared" si="22"/>
        <v>3.7698898408812687E-2</v>
      </c>
    </row>
    <row r="641" spans="1:7" x14ac:dyDescent="0.3">
      <c r="A641" t="s">
        <v>675</v>
      </c>
      <c r="B641">
        <v>322.23</v>
      </c>
      <c r="C641">
        <v>178.19</v>
      </c>
      <c r="D641">
        <v>42.55</v>
      </c>
      <c r="E641" s="12">
        <f t="shared" si="22"/>
        <v>-2.1676524324156787E-3</v>
      </c>
      <c r="F641" s="12">
        <f t="shared" si="22"/>
        <v>1.2361633983255516E-3</v>
      </c>
      <c r="G641" s="12">
        <f t="shared" si="22"/>
        <v>3.7744751120547537E-3</v>
      </c>
    </row>
    <row r="642" spans="1:7" x14ac:dyDescent="0.3">
      <c r="A642" t="s">
        <v>676</v>
      </c>
      <c r="B642">
        <v>326.05</v>
      </c>
      <c r="C642">
        <v>179.8</v>
      </c>
      <c r="D642">
        <v>44.66</v>
      </c>
      <c r="E642" s="12">
        <f t="shared" si="22"/>
        <v>1.1854886261366104E-2</v>
      </c>
      <c r="F642" s="12">
        <f t="shared" si="22"/>
        <v>9.0352993995175268E-3</v>
      </c>
      <c r="G642" s="12">
        <f t="shared" si="22"/>
        <v>4.9588719153936589E-2</v>
      </c>
    </row>
    <row r="643" spans="1:7" x14ac:dyDescent="0.3">
      <c r="A643" t="s">
        <v>677</v>
      </c>
      <c r="B643">
        <v>330.11</v>
      </c>
      <c r="C643">
        <v>178.85</v>
      </c>
      <c r="D643">
        <v>45.42</v>
      </c>
      <c r="E643" s="12">
        <f t="shared" si="22"/>
        <v>1.2452077902162184E-2</v>
      </c>
      <c r="F643" s="12">
        <f t="shared" si="22"/>
        <v>-5.2836484983316279E-3</v>
      </c>
      <c r="G643" s="12">
        <f t="shared" si="22"/>
        <v>1.7017465293327483E-2</v>
      </c>
    </row>
    <row r="644" spans="1:7" x14ac:dyDescent="0.3">
      <c r="A644" t="s">
        <v>678</v>
      </c>
      <c r="B644">
        <v>327.78</v>
      </c>
      <c r="C644">
        <v>181.99</v>
      </c>
      <c r="D644">
        <v>44.68</v>
      </c>
      <c r="E644" s="12">
        <f t="shared" ref="E644:G707" si="23">B644/B643-1</f>
        <v>-7.0582533095030486E-3</v>
      </c>
      <c r="F644" s="12">
        <f t="shared" si="23"/>
        <v>1.7556611685770385E-2</v>
      </c>
      <c r="G644" s="12">
        <f t="shared" si="23"/>
        <v>-1.6292382210480016E-2</v>
      </c>
    </row>
    <row r="645" spans="1:7" x14ac:dyDescent="0.3">
      <c r="A645" t="s">
        <v>679</v>
      </c>
      <c r="B645">
        <v>326.66000000000003</v>
      </c>
      <c r="C645">
        <v>191.17</v>
      </c>
      <c r="D645">
        <v>44.51</v>
      </c>
      <c r="E645" s="12">
        <f t="shared" si="23"/>
        <v>-3.4169259869423207E-3</v>
      </c>
      <c r="F645" s="12">
        <f t="shared" si="23"/>
        <v>5.0442331996263468E-2</v>
      </c>
      <c r="G645" s="12">
        <f t="shared" si="23"/>
        <v>-3.8048343777976612E-3</v>
      </c>
    </row>
    <row r="646" spans="1:7" x14ac:dyDescent="0.3">
      <c r="A646" t="s">
        <v>680</v>
      </c>
      <c r="B646">
        <v>327.5</v>
      </c>
      <c r="C646">
        <v>192.58</v>
      </c>
      <c r="D646">
        <v>44.27</v>
      </c>
      <c r="E646" s="12">
        <f t="shared" si="23"/>
        <v>2.5714810506336505E-3</v>
      </c>
      <c r="F646" s="12">
        <f t="shared" si="23"/>
        <v>7.3756342522364182E-3</v>
      </c>
      <c r="G646" s="12">
        <f t="shared" si="23"/>
        <v>-5.3920467310715203E-3</v>
      </c>
    </row>
    <row r="647" spans="1:7" x14ac:dyDescent="0.3">
      <c r="A647" t="s">
        <v>681</v>
      </c>
      <c r="B647">
        <v>336.34</v>
      </c>
      <c r="C647">
        <v>195.6</v>
      </c>
      <c r="D647">
        <v>46.51</v>
      </c>
      <c r="E647" s="12">
        <f t="shared" si="23"/>
        <v>2.6992366412213586E-2</v>
      </c>
      <c r="F647" s="12">
        <f t="shared" si="23"/>
        <v>1.5681794578876307E-2</v>
      </c>
      <c r="G647" s="12">
        <f t="shared" si="23"/>
        <v>5.0598599503049346E-2</v>
      </c>
    </row>
    <row r="648" spans="1:7" x14ac:dyDescent="0.3">
      <c r="A648" t="s">
        <v>682</v>
      </c>
      <c r="B648">
        <v>335.92</v>
      </c>
      <c r="C648">
        <v>196.45</v>
      </c>
      <c r="D648">
        <v>46.73</v>
      </c>
      <c r="E648" s="12">
        <f t="shared" si="23"/>
        <v>-1.2487363976927401E-3</v>
      </c>
      <c r="F648" s="12">
        <f t="shared" si="23"/>
        <v>4.3456032719835225E-3</v>
      </c>
      <c r="G648" s="12">
        <f t="shared" si="23"/>
        <v>4.7301655557945299E-3</v>
      </c>
    </row>
    <row r="649" spans="1:7" x14ac:dyDescent="0.3">
      <c r="A649" t="s">
        <v>683</v>
      </c>
      <c r="B649">
        <v>338.37</v>
      </c>
      <c r="C649">
        <v>195.83</v>
      </c>
      <c r="D649">
        <v>46.75</v>
      </c>
      <c r="E649" s="12">
        <f t="shared" si="23"/>
        <v>7.2934031912359476E-3</v>
      </c>
      <c r="F649" s="12">
        <f t="shared" si="23"/>
        <v>-3.1560193433441963E-3</v>
      </c>
      <c r="G649" s="12">
        <f t="shared" si="23"/>
        <v>4.2799058420728286E-4</v>
      </c>
    </row>
    <row r="650" spans="1:7" x14ac:dyDescent="0.3">
      <c r="A650" t="s">
        <v>684</v>
      </c>
      <c r="B650">
        <v>330.72</v>
      </c>
      <c r="C650">
        <v>193.22</v>
      </c>
      <c r="D650">
        <v>45.9</v>
      </c>
      <c r="E650" s="12">
        <f t="shared" si="23"/>
        <v>-2.2608387268374774E-2</v>
      </c>
      <c r="F650" s="12">
        <f t="shared" si="23"/>
        <v>-1.3327886432109581E-2</v>
      </c>
      <c r="G650" s="12">
        <f t="shared" si="23"/>
        <v>-1.8181818181818188E-2</v>
      </c>
    </row>
    <row r="651" spans="1:7" x14ac:dyDescent="0.3">
      <c r="A651" t="s">
        <v>685</v>
      </c>
      <c r="B651">
        <v>337.77</v>
      </c>
      <c r="C651">
        <v>194.5</v>
      </c>
      <c r="D651">
        <v>45.45</v>
      </c>
      <c r="E651" s="12">
        <f t="shared" si="23"/>
        <v>2.1317126269956299E-2</v>
      </c>
      <c r="F651" s="12">
        <f t="shared" si="23"/>
        <v>6.6245730255667379E-3</v>
      </c>
      <c r="G651" s="12">
        <f t="shared" si="23"/>
        <v>-9.8039215686273051E-3</v>
      </c>
    </row>
    <row r="652" spans="1:7" x14ac:dyDescent="0.3">
      <c r="A652" t="s">
        <v>686</v>
      </c>
      <c r="B652">
        <v>350.98</v>
      </c>
      <c r="C652">
        <v>193.62</v>
      </c>
      <c r="D652">
        <v>45.68</v>
      </c>
      <c r="E652" s="12">
        <f t="shared" si="23"/>
        <v>3.9109453178198361E-2</v>
      </c>
      <c r="F652" s="12">
        <f t="shared" si="23"/>
        <v>-4.5244215938302634E-3</v>
      </c>
      <c r="G652" s="12">
        <f t="shared" si="23"/>
        <v>5.0605060506050403E-3</v>
      </c>
    </row>
    <row r="653" spans="1:7" x14ac:dyDescent="0.3">
      <c r="A653" t="s">
        <v>687</v>
      </c>
      <c r="B653">
        <v>345.11</v>
      </c>
      <c r="C653">
        <v>192.75</v>
      </c>
      <c r="D653">
        <v>44.61</v>
      </c>
      <c r="E653" s="12">
        <f t="shared" si="23"/>
        <v>-1.6724599692290121E-2</v>
      </c>
      <c r="F653" s="12">
        <f t="shared" si="23"/>
        <v>-4.4933374651379143E-3</v>
      </c>
      <c r="G653" s="12">
        <f t="shared" si="23"/>
        <v>-2.3423817863397534E-2</v>
      </c>
    </row>
    <row r="654" spans="1:7" x14ac:dyDescent="0.3">
      <c r="A654" t="s">
        <v>688</v>
      </c>
      <c r="B654">
        <v>343.77</v>
      </c>
      <c r="C654">
        <v>191.94</v>
      </c>
      <c r="D654">
        <v>44.31</v>
      </c>
      <c r="E654" s="12">
        <f t="shared" si="23"/>
        <v>-3.8828199704442623E-3</v>
      </c>
      <c r="F654" s="12">
        <f t="shared" si="23"/>
        <v>-4.2023346303502462E-3</v>
      </c>
      <c r="G654" s="12">
        <f t="shared" si="23"/>
        <v>-6.7249495628781686E-3</v>
      </c>
    </row>
    <row r="655" spans="1:7" x14ac:dyDescent="0.3">
      <c r="A655" t="s">
        <v>689</v>
      </c>
      <c r="B655">
        <v>346.87</v>
      </c>
      <c r="C655">
        <v>193.13</v>
      </c>
      <c r="D655">
        <v>45.52</v>
      </c>
      <c r="E655" s="12">
        <f t="shared" si="23"/>
        <v>9.0176571544928752E-3</v>
      </c>
      <c r="F655" s="12">
        <f t="shared" si="23"/>
        <v>6.1998541210794844E-3</v>
      </c>
      <c r="G655" s="12">
        <f t="shared" si="23"/>
        <v>2.7307605506657673E-2</v>
      </c>
    </row>
    <row r="656" spans="1:7" x14ac:dyDescent="0.3">
      <c r="A656" t="s">
        <v>690</v>
      </c>
      <c r="B656">
        <v>355.08</v>
      </c>
      <c r="C656">
        <v>195.1</v>
      </c>
      <c r="D656">
        <v>47.08</v>
      </c>
      <c r="E656" s="12">
        <f t="shared" si="23"/>
        <v>2.3668809640499333E-2</v>
      </c>
      <c r="F656" s="12">
        <f t="shared" si="23"/>
        <v>1.0200383161600879E-2</v>
      </c>
      <c r="G656" s="12">
        <f t="shared" si="23"/>
        <v>3.4270650263620306E-2</v>
      </c>
    </row>
    <row r="657" spans="1:7" x14ac:dyDescent="0.3">
      <c r="A657" t="s">
        <v>691</v>
      </c>
      <c r="B657">
        <v>359.49</v>
      </c>
      <c r="C657">
        <v>193.73</v>
      </c>
      <c r="D657">
        <v>47.49</v>
      </c>
      <c r="E657" s="12">
        <f t="shared" si="23"/>
        <v>1.2419736397431658E-2</v>
      </c>
      <c r="F657" s="12">
        <f t="shared" si="23"/>
        <v>-7.0220399794976851E-3</v>
      </c>
      <c r="G657" s="12">
        <f t="shared" si="23"/>
        <v>8.7085811384877143E-3</v>
      </c>
    </row>
    <row r="658" spans="1:7" x14ac:dyDescent="0.3">
      <c r="A658" t="s">
        <v>692</v>
      </c>
      <c r="B658">
        <v>345.73</v>
      </c>
      <c r="C658">
        <v>193.99</v>
      </c>
      <c r="D658">
        <v>46.46</v>
      </c>
      <c r="E658" s="12">
        <f t="shared" si="23"/>
        <v>-3.8276447189073415E-2</v>
      </c>
      <c r="F658" s="12">
        <f t="shared" si="23"/>
        <v>1.3420740205440929E-3</v>
      </c>
      <c r="G658" s="12">
        <f t="shared" si="23"/>
        <v>-2.1688776584544156E-2</v>
      </c>
    </row>
    <row r="659" spans="1:7" x14ac:dyDescent="0.3">
      <c r="A659" t="s">
        <v>693</v>
      </c>
      <c r="B659">
        <v>345.24</v>
      </c>
      <c r="C659">
        <v>190.69</v>
      </c>
      <c r="D659">
        <v>45.47</v>
      </c>
      <c r="E659" s="12">
        <f t="shared" si="23"/>
        <v>-1.4172909495849817E-3</v>
      </c>
      <c r="F659" s="12">
        <f t="shared" si="23"/>
        <v>-1.7011186143615742E-2</v>
      </c>
      <c r="G659" s="12">
        <f t="shared" si="23"/>
        <v>-2.1308652604390965E-2</v>
      </c>
    </row>
    <row r="660" spans="1:7" x14ac:dyDescent="0.3">
      <c r="A660" t="s">
        <v>694</v>
      </c>
      <c r="B660">
        <v>342.66</v>
      </c>
      <c r="C660">
        <v>190.54</v>
      </c>
      <c r="D660">
        <v>45.98</v>
      </c>
      <c r="E660" s="12">
        <f t="shared" si="23"/>
        <v>-7.4730622175877004E-3</v>
      </c>
      <c r="F660" s="12">
        <f t="shared" si="23"/>
        <v>-7.866170223923552E-4</v>
      </c>
      <c r="G660" s="12">
        <f t="shared" si="23"/>
        <v>1.1216186496591174E-2</v>
      </c>
    </row>
    <row r="661" spans="1:7" x14ac:dyDescent="0.3">
      <c r="A661" t="s">
        <v>695</v>
      </c>
      <c r="B661">
        <v>337.2</v>
      </c>
      <c r="C661">
        <v>189.77</v>
      </c>
      <c r="D661">
        <v>43.9</v>
      </c>
      <c r="E661" s="12">
        <f t="shared" si="23"/>
        <v>-1.5934162143232511E-2</v>
      </c>
      <c r="F661" s="12">
        <f t="shared" si="23"/>
        <v>-4.0411462160175882E-3</v>
      </c>
      <c r="G661" s="12">
        <f t="shared" si="23"/>
        <v>-4.523705959112656E-2</v>
      </c>
    </row>
    <row r="662" spans="1:7" x14ac:dyDescent="0.3">
      <c r="A662" t="s">
        <v>696</v>
      </c>
      <c r="B662">
        <v>332.47</v>
      </c>
      <c r="C662">
        <v>188.08</v>
      </c>
      <c r="D662">
        <v>42.4</v>
      </c>
      <c r="E662" s="12">
        <f t="shared" si="23"/>
        <v>-1.402728351126914E-2</v>
      </c>
      <c r="F662" s="12">
        <f t="shared" si="23"/>
        <v>-8.9055172050376274E-3</v>
      </c>
      <c r="G662" s="12">
        <f t="shared" si="23"/>
        <v>-3.4168564920273314E-2</v>
      </c>
    </row>
    <row r="663" spans="1:7" x14ac:dyDescent="0.3">
      <c r="A663" t="s">
        <v>697</v>
      </c>
      <c r="B663">
        <v>331.83</v>
      </c>
      <c r="C663">
        <v>188.61</v>
      </c>
      <c r="D663">
        <v>42.18</v>
      </c>
      <c r="E663" s="12">
        <f t="shared" si="23"/>
        <v>-1.9249857129968184E-3</v>
      </c>
      <c r="F663" s="12">
        <f t="shared" si="23"/>
        <v>2.8179498085920685E-3</v>
      </c>
      <c r="G663" s="12">
        <f t="shared" si="23"/>
        <v>-5.18867924528299E-3</v>
      </c>
    </row>
    <row r="664" spans="1:7" x14ac:dyDescent="0.3">
      <c r="A664" t="s">
        <v>698</v>
      </c>
      <c r="B664">
        <v>337.22</v>
      </c>
      <c r="C664">
        <v>190.68</v>
      </c>
      <c r="D664">
        <v>42.5</v>
      </c>
      <c r="E664" s="12">
        <f t="shared" si="23"/>
        <v>1.6243257089473717E-2</v>
      </c>
      <c r="F664" s="12">
        <f t="shared" si="23"/>
        <v>1.0975027835215423E-2</v>
      </c>
      <c r="G664" s="12">
        <f t="shared" si="23"/>
        <v>7.5865339023233336E-3</v>
      </c>
    </row>
    <row r="665" spans="1:7" x14ac:dyDescent="0.3">
      <c r="A665" t="s">
        <v>699</v>
      </c>
      <c r="B665">
        <v>341.27</v>
      </c>
      <c r="C665">
        <v>191.81</v>
      </c>
      <c r="D665">
        <v>42.1</v>
      </c>
      <c r="E665" s="12">
        <f t="shared" si="23"/>
        <v>1.2009963821837166E-2</v>
      </c>
      <c r="F665" s="12">
        <f t="shared" si="23"/>
        <v>5.9261590098593775E-3</v>
      </c>
      <c r="G665" s="12">
        <f t="shared" si="23"/>
        <v>-9.4117647058823417E-3</v>
      </c>
    </row>
    <row r="666" spans="1:7" x14ac:dyDescent="0.3">
      <c r="A666" t="s">
        <v>700</v>
      </c>
      <c r="B666">
        <v>338.15</v>
      </c>
      <c r="C666">
        <v>191.33</v>
      </c>
      <c r="D666">
        <v>42.32</v>
      </c>
      <c r="E666" s="12">
        <f t="shared" si="23"/>
        <v>-9.1423213291529359E-3</v>
      </c>
      <c r="F666" s="12">
        <f t="shared" si="23"/>
        <v>-2.502476408946297E-3</v>
      </c>
      <c r="G666" s="12">
        <f t="shared" si="23"/>
        <v>5.2256532066508043E-3</v>
      </c>
    </row>
    <row r="667" spans="1:7" x14ac:dyDescent="0.3">
      <c r="A667" t="s">
        <v>701</v>
      </c>
      <c r="B667">
        <v>337.99</v>
      </c>
      <c r="C667">
        <v>192.46</v>
      </c>
      <c r="D667">
        <v>42.41</v>
      </c>
      <c r="E667" s="12">
        <f t="shared" si="23"/>
        <v>-4.7316279757492197E-4</v>
      </c>
      <c r="F667" s="12">
        <f t="shared" si="23"/>
        <v>5.9060262373908934E-3</v>
      </c>
      <c r="G667" s="12">
        <f t="shared" si="23"/>
        <v>2.1266540642721488E-3</v>
      </c>
    </row>
    <row r="668" spans="1:7" x14ac:dyDescent="0.3">
      <c r="A668" t="s">
        <v>702</v>
      </c>
      <c r="B668">
        <v>340.54</v>
      </c>
      <c r="C668">
        <v>193.97</v>
      </c>
      <c r="D668">
        <v>42.3</v>
      </c>
      <c r="E668" s="12">
        <f t="shared" si="23"/>
        <v>7.5446019112992424E-3</v>
      </c>
      <c r="F668" s="12">
        <f t="shared" si="23"/>
        <v>7.8457861373790738E-3</v>
      </c>
      <c r="G668" s="12">
        <f t="shared" si="23"/>
        <v>-2.593727894364517E-3</v>
      </c>
    </row>
    <row r="669" spans="1:7" x14ac:dyDescent="0.3">
      <c r="A669" t="s">
        <v>703</v>
      </c>
      <c r="B669">
        <v>335.05</v>
      </c>
      <c r="C669">
        <v>189.59</v>
      </c>
      <c r="D669">
        <v>40.82</v>
      </c>
      <c r="E669" s="12">
        <f t="shared" si="23"/>
        <v>-1.6121454161038384E-2</v>
      </c>
      <c r="F669" s="12">
        <f t="shared" si="23"/>
        <v>-2.2580811465690576E-2</v>
      </c>
      <c r="G669" s="12">
        <f t="shared" si="23"/>
        <v>-3.4988179669030672E-2</v>
      </c>
    </row>
    <row r="670" spans="1:7" x14ac:dyDescent="0.3">
      <c r="A670" t="s">
        <v>704</v>
      </c>
      <c r="B670">
        <v>335.85</v>
      </c>
      <c r="C670">
        <v>189.25</v>
      </c>
      <c r="D670">
        <v>41.12</v>
      </c>
      <c r="E670" s="12">
        <f t="shared" si="23"/>
        <v>2.3877033278616455E-3</v>
      </c>
      <c r="F670" s="12">
        <f t="shared" si="23"/>
        <v>-1.7933435307769807E-3</v>
      </c>
      <c r="G670" s="12">
        <f t="shared" si="23"/>
        <v>7.3493385595295724E-3</v>
      </c>
    </row>
    <row r="671" spans="1:7" x14ac:dyDescent="0.3">
      <c r="A671" t="s">
        <v>705</v>
      </c>
      <c r="B671">
        <v>334.57</v>
      </c>
      <c r="C671">
        <v>188.06</v>
      </c>
      <c r="D671">
        <v>41.88</v>
      </c>
      <c r="E671" s="12">
        <f t="shared" si="23"/>
        <v>-3.8112252493673893E-3</v>
      </c>
      <c r="F671" s="12">
        <f t="shared" si="23"/>
        <v>-6.2879788639366163E-3</v>
      </c>
      <c r="G671" s="12">
        <f t="shared" si="23"/>
        <v>1.8482490272373697E-2</v>
      </c>
    </row>
    <row r="672" spans="1:7" x14ac:dyDescent="0.3">
      <c r="A672" t="s">
        <v>706</v>
      </c>
      <c r="B672">
        <v>328.6</v>
      </c>
      <c r="C672">
        <v>185.27</v>
      </c>
      <c r="D672">
        <v>40.630000000000003</v>
      </c>
      <c r="E672" s="12">
        <f t="shared" si="23"/>
        <v>-1.7843799503840629E-2</v>
      </c>
      <c r="F672" s="12">
        <f t="shared" si="23"/>
        <v>-1.4835690736998752E-2</v>
      </c>
      <c r="G672" s="12">
        <f t="shared" si="23"/>
        <v>-2.9847182425978946E-2</v>
      </c>
    </row>
    <row r="673" spans="1:7" x14ac:dyDescent="0.3">
      <c r="A673" t="s">
        <v>707</v>
      </c>
      <c r="B673">
        <v>335.02</v>
      </c>
      <c r="C673">
        <v>186.68</v>
      </c>
      <c r="D673">
        <v>42.21</v>
      </c>
      <c r="E673" s="12">
        <f t="shared" si="23"/>
        <v>1.953743152769305E-2</v>
      </c>
      <c r="F673" s="12">
        <f t="shared" si="23"/>
        <v>7.6105143844118484E-3</v>
      </c>
      <c r="G673" s="12">
        <f t="shared" si="23"/>
        <v>3.8887521535810876E-2</v>
      </c>
    </row>
    <row r="674" spans="1:7" x14ac:dyDescent="0.3">
      <c r="A674" t="s">
        <v>708</v>
      </c>
      <c r="B674">
        <v>339.71</v>
      </c>
      <c r="C674">
        <v>187</v>
      </c>
      <c r="D674">
        <v>43.03</v>
      </c>
      <c r="E674" s="12">
        <f t="shared" si="23"/>
        <v>1.399916422900116E-2</v>
      </c>
      <c r="F674" s="12">
        <f t="shared" si="23"/>
        <v>1.7141632740518276E-3</v>
      </c>
      <c r="G674" s="12">
        <f t="shared" si="23"/>
        <v>1.9426676143094124E-2</v>
      </c>
    </row>
    <row r="675" spans="1:7" x14ac:dyDescent="0.3">
      <c r="A675" t="s">
        <v>709</v>
      </c>
      <c r="B675">
        <v>333.56</v>
      </c>
      <c r="C675">
        <v>183.96</v>
      </c>
      <c r="D675">
        <v>43.04</v>
      </c>
      <c r="E675" s="12">
        <f t="shared" si="23"/>
        <v>-1.8103676665391033E-2</v>
      </c>
      <c r="F675" s="12">
        <f t="shared" si="23"/>
        <v>-1.625668449197859E-2</v>
      </c>
      <c r="G675" s="12">
        <f t="shared" si="23"/>
        <v>2.323960027887928E-4</v>
      </c>
    </row>
    <row r="676" spans="1:7" x14ac:dyDescent="0.3">
      <c r="A676" t="s">
        <v>710</v>
      </c>
      <c r="B676">
        <v>338.05</v>
      </c>
      <c r="C676">
        <v>185.01</v>
      </c>
      <c r="D676">
        <v>43.81</v>
      </c>
      <c r="E676" s="12">
        <f t="shared" si="23"/>
        <v>1.3460846624295586E-2</v>
      </c>
      <c r="F676" s="12">
        <f t="shared" si="23"/>
        <v>5.7077625570776114E-3</v>
      </c>
      <c r="G676" s="12">
        <f t="shared" si="23"/>
        <v>1.7890334572490785E-2</v>
      </c>
    </row>
    <row r="677" spans="1:7" x14ac:dyDescent="0.3">
      <c r="A677" t="s">
        <v>711</v>
      </c>
      <c r="B677">
        <v>342.33</v>
      </c>
      <c r="C677">
        <v>184.92</v>
      </c>
      <c r="D677">
        <v>42.69</v>
      </c>
      <c r="E677" s="12">
        <f t="shared" si="23"/>
        <v>1.2660848986836282E-2</v>
      </c>
      <c r="F677" s="12">
        <f t="shared" si="23"/>
        <v>-4.8646019134102048E-4</v>
      </c>
      <c r="G677" s="12">
        <f t="shared" si="23"/>
        <v>-2.5564939511527163E-2</v>
      </c>
    </row>
    <row r="678" spans="1:7" x14ac:dyDescent="0.3">
      <c r="A678" t="s">
        <v>712</v>
      </c>
      <c r="B678">
        <v>348.1</v>
      </c>
      <c r="C678">
        <v>186.01</v>
      </c>
      <c r="D678">
        <v>42.65</v>
      </c>
      <c r="E678" s="12">
        <f t="shared" si="23"/>
        <v>1.6855081354248957E-2</v>
      </c>
      <c r="F678" s="12">
        <f t="shared" si="23"/>
        <v>5.8944408392818115E-3</v>
      </c>
      <c r="G678" s="12">
        <f t="shared" si="23"/>
        <v>-9.3698758491445044E-4</v>
      </c>
    </row>
    <row r="679" spans="1:7" x14ac:dyDescent="0.3">
      <c r="A679" t="s">
        <v>713</v>
      </c>
      <c r="B679">
        <v>337.34</v>
      </c>
      <c r="C679">
        <v>183.95</v>
      </c>
      <c r="D679">
        <v>43</v>
      </c>
      <c r="E679" s="12">
        <f t="shared" si="23"/>
        <v>-3.0910657856937807E-2</v>
      </c>
      <c r="F679" s="12">
        <f t="shared" si="23"/>
        <v>-1.1074673404655622E-2</v>
      </c>
      <c r="G679" s="12">
        <f t="shared" si="23"/>
        <v>8.2063305978898882E-3</v>
      </c>
    </row>
    <row r="680" spans="1:7" x14ac:dyDescent="0.3">
      <c r="A680" t="s">
        <v>714</v>
      </c>
      <c r="B680">
        <v>334.29</v>
      </c>
      <c r="C680">
        <v>183.31</v>
      </c>
      <c r="D680">
        <v>41.02</v>
      </c>
      <c r="E680" s="12">
        <f t="shared" si="23"/>
        <v>-9.0413232940058652E-3</v>
      </c>
      <c r="F680" s="12">
        <f t="shared" si="23"/>
        <v>-3.4792063060613554E-3</v>
      </c>
      <c r="G680" s="12">
        <f t="shared" si="23"/>
        <v>-4.604651162790685E-2</v>
      </c>
    </row>
    <row r="681" spans="1:7" x14ac:dyDescent="0.3">
      <c r="A681" t="s">
        <v>715</v>
      </c>
      <c r="B681">
        <v>331.85</v>
      </c>
      <c r="C681">
        <v>183.79</v>
      </c>
      <c r="D681">
        <v>39.479999999999997</v>
      </c>
      <c r="E681" s="12">
        <f t="shared" si="23"/>
        <v>-7.2990517215590911E-3</v>
      </c>
      <c r="F681" s="12">
        <f t="shared" si="23"/>
        <v>2.6185150837378934E-3</v>
      </c>
      <c r="G681" s="12">
        <f t="shared" si="23"/>
        <v>-3.754266211604107E-2</v>
      </c>
    </row>
    <row r="682" spans="1:7" x14ac:dyDescent="0.3">
      <c r="A682" t="s">
        <v>716</v>
      </c>
      <c r="B682">
        <v>326.79000000000002</v>
      </c>
      <c r="C682">
        <v>180.96</v>
      </c>
      <c r="D682">
        <v>38.770000000000003</v>
      </c>
      <c r="E682" s="12">
        <f t="shared" si="23"/>
        <v>-1.5247852945607931E-2</v>
      </c>
      <c r="F682" s="12">
        <f t="shared" si="23"/>
        <v>-1.5398008596767987E-2</v>
      </c>
      <c r="G682" s="12">
        <f t="shared" si="23"/>
        <v>-1.7983789260384797E-2</v>
      </c>
    </row>
    <row r="683" spans="1:7" x14ac:dyDescent="0.3">
      <c r="A683" t="s">
        <v>717</v>
      </c>
      <c r="B683">
        <v>325.26</v>
      </c>
      <c r="C683">
        <v>180.57</v>
      </c>
      <c r="D683">
        <v>38.51</v>
      </c>
      <c r="E683" s="12">
        <f t="shared" si="23"/>
        <v>-4.6819058110714185E-3</v>
      </c>
      <c r="F683" s="12">
        <f t="shared" si="23"/>
        <v>-2.1551724137931494E-3</v>
      </c>
      <c r="G683" s="12">
        <f t="shared" si="23"/>
        <v>-6.7062161465051284E-3</v>
      </c>
    </row>
    <row r="684" spans="1:7" x14ac:dyDescent="0.3">
      <c r="A684" t="s">
        <v>718</v>
      </c>
      <c r="B684">
        <v>323.38</v>
      </c>
      <c r="C684">
        <v>177.82</v>
      </c>
      <c r="D684">
        <v>37.47</v>
      </c>
      <c r="E684" s="12">
        <f t="shared" si="23"/>
        <v>-5.7799913915022039E-3</v>
      </c>
      <c r="F684" s="12">
        <f t="shared" si="23"/>
        <v>-1.5229550866699859E-2</v>
      </c>
      <c r="G684" s="12">
        <f t="shared" si="23"/>
        <v>-2.7005972474681839E-2</v>
      </c>
    </row>
    <row r="685" spans="1:7" x14ac:dyDescent="0.3">
      <c r="A685" t="s">
        <v>719</v>
      </c>
      <c r="B685">
        <v>333.68</v>
      </c>
      <c r="C685">
        <v>179.21</v>
      </c>
      <c r="D685">
        <v>38.65</v>
      </c>
      <c r="E685" s="12">
        <f t="shared" si="23"/>
        <v>3.185107304100443E-2</v>
      </c>
      <c r="F685" s="12">
        <f t="shared" si="23"/>
        <v>7.8168934877966834E-3</v>
      </c>
      <c r="G685" s="12">
        <f t="shared" si="23"/>
        <v>3.1491860154790441E-2</v>
      </c>
    </row>
    <row r="686" spans="1:7" x14ac:dyDescent="0.3">
      <c r="A686" t="s">
        <v>720</v>
      </c>
      <c r="B686">
        <v>335.94</v>
      </c>
      <c r="C686">
        <v>179.58</v>
      </c>
      <c r="D686">
        <v>39.17</v>
      </c>
      <c r="E686" s="12">
        <f t="shared" si="23"/>
        <v>6.7729561256293369E-3</v>
      </c>
      <c r="F686" s="12">
        <f t="shared" si="23"/>
        <v>2.0646169298588202E-3</v>
      </c>
      <c r="G686" s="12">
        <f t="shared" si="23"/>
        <v>1.3454075032341528E-2</v>
      </c>
    </row>
    <row r="687" spans="1:7" x14ac:dyDescent="0.3">
      <c r="A687" t="s">
        <v>721</v>
      </c>
      <c r="B687">
        <v>335.4</v>
      </c>
      <c r="C687">
        <v>180.95</v>
      </c>
      <c r="D687">
        <v>39.33</v>
      </c>
      <c r="E687" s="12">
        <f t="shared" si="23"/>
        <v>-1.6074298981961777E-3</v>
      </c>
      <c r="F687" s="12">
        <f t="shared" si="23"/>
        <v>7.6289119055572563E-3</v>
      </c>
      <c r="G687" s="12">
        <f t="shared" si="23"/>
        <v>4.0847587439365451E-3</v>
      </c>
    </row>
    <row r="688" spans="1:7" x14ac:dyDescent="0.3">
      <c r="A688" t="s">
        <v>722</v>
      </c>
      <c r="B688">
        <v>332.58</v>
      </c>
      <c r="C688">
        <v>180.09</v>
      </c>
      <c r="D688">
        <v>39.770000000000003</v>
      </c>
      <c r="E688" s="12">
        <f t="shared" si="23"/>
        <v>-8.4078711985688948E-3</v>
      </c>
      <c r="F688" s="12">
        <f t="shared" si="23"/>
        <v>-4.752694114396161E-3</v>
      </c>
      <c r="G688" s="12">
        <f t="shared" si="23"/>
        <v>1.1187388761759509E-2</v>
      </c>
    </row>
    <row r="689" spans="1:7" x14ac:dyDescent="0.3">
      <c r="A689" t="s">
        <v>723</v>
      </c>
      <c r="B689">
        <v>328.39</v>
      </c>
      <c r="C689">
        <v>177.25</v>
      </c>
      <c r="D689">
        <v>37.83</v>
      </c>
      <c r="E689" s="12">
        <f t="shared" si="23"/>
        <v>-1.2598472547958428E-2</v>
      </c>
      <c r="F689" s="12">
        <f t="shared" si="23"/>
        <v>-1.5769892831362098E-2</v>
      </c>
      <c r="G689" s="12">
        <f t="shared" si="23"/>
        <v>-4.8780487804878203E-2</v>
      </c>
    </row>
    <row r="690" spans="1:7" x14ac:dyDescent="0.3">
      <c r="A690" t="s">
        <v>724</v>
      </c>
      <c r="B690">
        <v>331.21</v>
      </c>
      <c r="C690">
        <v>177.3</v>
      </c>
      <c r="D690">
        <v>40.11</v>
      </c>
      <c r="E690" s="12">
        <f t="shared" si="23"/>
        <v>8.5873504065288042E-3</v>
      </c>
      <c r="F690" s="12">
        <f t="shared" si="23"/>
        <v>2.8208744710855882E-4</v>
      </c>
      <c r="G690" s="12">
        <f t="shared" si="23"/>
        <v>6.0269627279936566E-2</v>
      </c>
    </row>
    <row r="691" spans="1:7" x14ac:dyDescent="0.3">
      <c r="A691" t="s">
        <v>725</v>
      </c>
      <c r="B691">
        <v>332.89</v>
      </c>
      <c r="C691">
        <v>175.43</v>
      </c>
      <c r="D691">
        <v>38.950000000000003</v>
      </c>
      <c r="E691" s="12">
        <f t="shared" si="23"/>
        <v>5.072310618640774E-3</v>
      </c>
      <c r="F691" s="12">
        <f t="shared" si="23"/>
        <v>-1.0547095318668931E-2</v>
      </c>
      <c r="G691" s="12">
        <f t="shared" si="23"/>
        <v>-2.8920468711044589E-2</v>
      </c>
    </row>
    <row r="692" spans="1:7" x14ac:dyDescent="0.3">
      <c r="A692" t="s">
        <v>726</v>
      </c>
      <c r="B692">
        <v>325.92</v>
      </c>
      <c r="C692">
        <v>172.99</v>
      </c>
      <c r="D692">
        <v>37.979999999999997</v>
      </c>
      <c r="E692" s="12">
        <f t="shared" si="23"/>
        <v>-2.0937847336958026E-2</v>
      </c>
      <c r="F692" s="12">
        <f t="shared" si="23"/>
        <v>-1.3908681525394706E-2</v>
      </c>
      <c r="G692" s="12">
        <f t="shared" si="23"/>
        <v>-2.4903722721437926E-2</v>
      </c>
    </row>
    <row r="693" spans="1:7" x14ac:dyDescent="0.3">
      <c r="A693" t="s">
        <v>727</v>
      </c>
      <c r="B693">
        <v>313.85000000000002</v>
      </c>
      <c r="C693">
        <v>171.84</v>
      </c>
      <c r="D693">
        <v>30.54</v>
      </c>
      <c r="E693" s="12">
        <f t="shared" si="23"/>
        <v>-3.7033627884143328E-2</v>
      </c>
      <c r="F693" s="12">
        <f t="shared" si="23"/>
        <v>-6.6477831088502803E-3</v>
      </c>
      <c r="G693" s="12">
        <f t="shared" si="23"/>
        <v>-0.19589257503949442</v>
      </c>
    </row>
    <row r="694" spans="1:7" x14ac:dyDescent="0.3">
      <c r="A694" t="s">
        <v>728</v>
      </c>
      <c r="B694">
        <v>315.26</v>
      </c>
      <c r="C694">
        <v>171.56</v>
      </c>
      <c r="D694">
        <v>30.69</v>
      </c>
      <c r="E694" s="12">
        <f t="shared" si="23"/>
        <v>4.492592002548923E-3</v>
      </c>
      <c r="F694" s="12">
        <f t="shared" si="23"/>
        <v>-1.6294227188081711E-3</v>
      </c>
      <c r="G694" s="12">
        <f t="shared" si="23"/>
        <v>4.9115913555992652E-3</v>
      </c>
    </row>
    <row r="695" spans="1:7" x14ac:dyDescent="0.3">
      <c r="A695" t="s">
        <v>729</v>
      </c>
      <c r="B695">
        <v>321.18</v>
      </c>
      <c r="C695">
        <v>174.2</v>
      </c>
      <c r="D695">
        <v>31.18</v>
      </c>
      <c r="E695" s="12">
        <f t="shared" si="23"/>
        <v>1.8778151367125684E-2</v>
      </c>
      <c r="F695" s="12">
        <f t="shared" si="23"/>
        <v>1.5388202378176619E-2</v>
      </c>
      <c r="G695" s="12">
        <f t="shared" si="23"/>
        <v>1.5966112740306126E-2</v>
      </c>
    </row>
    <row r="696" spans="1:7" x14ac:dyDescent="0.3">
      <c r="A696" t="s">
        <v>730</v>
      </c>
      <c r="B696">
        <v>318.33999999999997</v>
      </c>
      <c r="C696">
        <v>175.16</v>
      </c>
      <c r="D696">
        <v>31.26</v>
      </c>
      <c r="E696" s="12">
        <f t="shared" si="23"/>
        <v>-8.8423936733297293E-3</v>
      </c>
      <c r="F696" s="12">
        <f t="shared" si="23"/>
        <v>5.5109070034442542E-3</v>
      </c>
      <c r="G696" s="12">
        <f t="shared" si="23"/>
        <v>2.5657472738935816E-3</v>
      </c>
    </row>
    <row r="697" spans="1:7" x14ac:dyDescent="0.3">
      <c r="A697" t="s">
        <v>731</v>
      </c>
      <c r="B697">
        <v>318.52</v>
      </c>
      <c r="C697">
        <v>175.05</v>
      </c>
      <c r="D697">
        <v>31.68</v>
      </c>
      <c r="E697" s="12">
        <f t="shared" si="23"/>
        <v>5.6543318464541414E-4</v>
      </c>
      <c r="F697" s="12">
        <f t="shared" si="23"/>
        <v>-6.279972596482386E-4</v>
      </c>
      <c r="G697" s="12">
        <f t="shared" si="23"/>
        <v>1.3435700575815668E-2</v>
      </c>
    </row>
    <row r="698" spans="1:7" x14ac:dyDescent="0.3">
      <c r="A698" t="s">
        <v>732</v>
      </c>
      <c r="B698">
        <v>314</v>
      </c>
      <c r="C698">
        <v>172.69</v>
      </c>
      <c r="D698">
        <v>30.18</v>
      </c>
      <c r="E698" s="12">
        <f t="shared" si="23"/>
        <v>-1.4190631671480491E-2</v>
      </c>
      <c r="F698" s="12">
        <f t="shared" si="23"/>
        <v>-1.3481862325050109E-2</v>
      </c>
      <c r="G698" s="12">
        <f t="shared" si="23"/>
        <v>-4.7348484848484862E-2</v>
      </c>
    </row>
    <row r="699" spans="1:7" x14ac:dyDescent="0.3">
      <c r="A699" t="s">
        <v>733</v>
      </c>
      <c r="B699">
        <v>311.74</v>
      </c>
      <c r="C699">
        <v>172.07</v>
      </c>
      <c r="D699">
        <v>29.21</v>
      </c>
      <c r="E699" s="12">
        <f t="shared" si="23"/>
        <v>-7.1974522292993504E-3</v>
      </c>
      <c r="F699" s="12">
        <f t="shared" si="23"/>
        <v>-3.5902484220279307E-3</v>
      </c>
      <c r="G699" s="12">
        <f t="shared" si="23"/>
        <v>-3.214049039098732E-2</v>
      </c>
    </row>
    <row r="700" spans="1:7" x14ac:dyDescent="0.3">
      <c r="A700" t="s">
        <v>734</v>
      </c>
      <c r="B700">
        <v>309.45999999999998</v>
      </c>
      <c r="C700">
        <v>172.07</v>
      </c>
      <c r="D700">
        <v>28.95</v>
      </c>
      <c r="E700" s="12">
        <f t="shared" si="23"/>
        <v>-7.3137871303009527E-3</v>
      </c>
      <c r="F700" s="12">
        <f t="shared" si="23"/>
        <v>0</v>
      </c>
      <c r="G700" s="12">
        <f t="shared" si="23"/>
        <v>-8.9010612803834821E-3</v>
      </c>
    </row>
    <row r="701" spans="1:7" x14ac:dyDescent="0.3">
      <c r="A701" t="s">
        <v>735</v>
      </c>
      <c r="B701">
        <v>308.97000000000003</v>
      </c>
      <c r="C701">
        <v>172.57</v>
      </c>
      <c r="D701">
        <v>28.34</v>
      </c>
      <c r="E701" s="12">
        <f t="shared" si="23"/>
        <v>-1.5834033477669651E-3</v>
      </c>
      <c r="F701" s="12">
        <f t="shared" si="23"/>
        <v>2.9057941535421961E-3</v>
      </c>
      <c r="G701" s="12">
        <f t="shared" si="23"/>
        <v>-2.1070811744386853E-2</v>
      </c>
    </row>
    <row r="702" spans="1:7" x14ac:dyDescent="0.3">
      <c r="A702" t="s">
        <v>736</v>
      </c>
      <c r="B702">
        <v>310.11</v>
      </c>
      <c r="C702">
        <v>173.75</v>
      </c>
      <c r="D702">
        <v>28.58</v>
      </c>
      <c r="E702" s="12">
        <f t="shared" si="23"/>
        <v>3.6896786095736989E-3</v>
      </c>
      <c r="F702" s="12">
        <f t="shared" si="23"/>
        <v>6.8378049487165526E-3</v>
      </c>
      <c r="G702" s="12">
        <f t="shared" si="23"/>
        <v>8.4685956245589278E-3</v>
      </c>
    </row>
    <row r="703" spans="1:7" x14ac:dyDescent="0.3">
      <c r="A703" t="s">
        <v>737</v>
      </c>
      <c r="B703">
        <v>312.31</v>
      </c>
      <c r="C703">
        <v>173.55</v>
      </c>
      <c r="D703">
        <v>28.89</v>
      </c>
      <c r="E703" s="12">
        <f t="shared" si="23"/>
        <v>7.0942568765921532E-3</v>
      </c>
      <c r="F703" s="12">
        <f t="shared" si="23"/>
        <v>-1.1510791366905471E-3</v>
      </c>
      <c r="G703" s="12">
        <f t="shared" si="23"/>
        <v>1.0846745976207162E-2</v>
      </c>
    </row>
    <row r="704" spans="1:7" x14ac:dyDescent="0.3">
      <c r="A704" t="s">
        <v>738</v>
      </c>
      <c r="B704">
        <v>307</v>
      </c>
      <c r="C704">
        <v>171.77</v>
      </c>
      <c r="D704">
        <v>28.57</v>
      </c>
      <c r="E704" s="12">
        <f t="shared" si="23"/>
        <v>-1.7002337421152092E-2</v>
      </c>
      <c r="F704" s="12">
        <f t="shared" si="23"/>
        <v>-1.025641025641022E-2</v>
      </c>
      <c r="G704" s="12">
        <f t="shared" si="23"/>
        <v>-1.1076497057805446E-2</v>
      </c>
    </row>
    <row r="705" spans="1:7" x14ac:dyDescent="0.3">
      <c r="A705" t="s">
        <v>739</v>
      </c>
      <c r="B705">
        <v>308.64999999999998</v>
      </c>
      <c r="C705">
        <v>173.5</v>
      </c>
      <c r="D705">
        <v>29.15</v>
      </c>
      <c r="E705" s="12">
        <f t="shared" si="23"/>
        <v>5.3745928338762017E-3</v>
      </c>
      <c r="F705" s="12">
        <f t="shared" si="23"/>
        <v>1.007160738196422E-2</v>
      </c>
      <c r="G705" s="12">
        <f t="shared" si="23"/>
        <v>2.0301015050752547E-2</v>
      </c>
    </row>
    <row r="706" spans="1:7" x14ac:dyDescent="0.3">
      <c r="A706" t="s">
        <v>740</v>
      </c>
      <c r="B706">
        <v>310.64999999999998</v>
      </c>
      <c r="C706">
        <v>173.57</v>
      </c>
      <c r="D706">
        <v>28.68</v>
      </c>
      <c r="E706" s="12">
        <f t="shared" si="23"/>
        <v>6.4798315243803639E-3</v>
      </c>
      <c r="F706" s="12">
        <f t="shared" si="23"/>
        <v>4.034582132563802E-4</v>
      </c>
      <c r="G706" s="12">
        <f t="shared" si="23"/>
        <v>-1.6123499142366993E-2</v>
      </c>
    </row>
    <row r="707" spans="1:7" x14ac:dyDescent="0.3">
      <c r="A707" t="s">
        <v>741</v>
      </c>
      <c r="B707">
        <v>305.41000000000003</v>
      </c>
      <c r="C707">
        <v>165.79</v>
      </c>
      <c r="D707">
        <v>27.56</v>
      </c>
      <c r="E707" s="12">
        <f t="shared" si="23"/>
        <v>-1.6867857717688617E-2</v>
      </c>
      <c r="F707" s="12">
        <f t="shared" si="23"/>
        <v>-4.4823414184478882E-2</v>
      </c>
      <c r="G707" s="12">
        <f t="shared" si="23"/>
        <v>-3.9051603905160381E-2</v>
      </c>
    </row>
    <row r="708" spans="1:7" x14ac:dyDescent="0.3">
      <c r="A708" t="s">
        <v>742</v>
      </c>
      <c r="B708">
        <v>304.39999999999998</v>
      </c>
      <c r="C708">
        <v>167.45</v>
      </c>
      <c r="D708">
        <v>27.8</v>
      </c>
      <c r="E708" s="12">
        <f t="shared" ref="E708:G771" si="24">B708/B707-1</f>
        <v>-3.3070298942406984E-3</v>
      </c>
      <c r="F708" s="12">
        <f t="shared" si="24"/>
        <v>1.0012666626455058E-2</v>
      </c>
      <c r="G708" s="12">
        <f t="shared" si="24"/>
        <v>8.7082728592162706E-3</v>
      </c>
    </row>
    <row r="709" spans="1:7" x14ac:dyDescent="0.3">
      <c r="A709" t="s">
        <v>743</v>
      </c>
      <c r="B709">
        <v>305.41000000000003</v>
      </c>
      <c r="C709">
        <v>168.54</v>
      </c>
      <c r="D709">
        <v>28.21</v>
      </c>
      <c r="E709" s="12">
        <f t="shared" si="24"/>
        <v>3.3180026281209862E-3</v>
      </c>
      <c r="F709" s="12">
        <f t="shared" si="24"/>
        <v>6.5094057927739257E-3</v>
      </c>
      <c r="G709" s="12">
        <f t="shared" si="24"/>
        <v>1.4748201438848918E-2</v>
      </c>
    </row>
    <row r="710" spans="1:7" x14ac:dyDescent="0.3">
      <c r="A710" t="s">
        <v>744</v>
      </c>
      <c r="B710">
        <v>305.56</v>
      </c>
      <c r="C710">
        <v>169.59</v>
      </c>
      <c r="D710">
        <v>28.91</v>
      </c>
      <c r="E710" s="12">
        <f t="shared" si="24"/>
        <v>4.9114305360009602E-4</v>
      </c>
      <c r="F710" s="12">
        <f t="shared" si="24"/>
        <v>6.2299750800998144E-3</v>
      </c>
      <c r="G710" s="12">
        <f t="shared" si="24"/>
        <v>2.4813895781637729E-2</v>
      </c>
    </row>
    <row r="711" spans="1:7" x14ac:dyDescent="0.3">
      <c r="A711" t="s">
        <v>745</v>
      </c>
      <c r="B711">
        <v>307.26</v>
      </c>
      <c r="C711">
        <v>169.68</v>
      </c>
      <c r="D711">
        <v>27.75</v>
      </c>
      <c r="E711" s="12">
        <f t="shared" si="24"/>
        <v>5.5635554391935127E-3</v>
      </c>
      <c r="F711" s="12">
        <f t="shared" si="24"/>
        <v>5.3069166814090352E-4</v>
      </c>
      <c r="G711" s="12">
        <f t="shared" si="24"/>
        <v>-4.0124524386025651E-2</v>
      </c>
    </row>
    <row r="712" spans="1:7" x14ac:dyDescent="0.3">
      <c r="A712" t="s">
        <v>746</v>
      </c>
      <c r="B712">
        <v>304.83</v>
      </c>
      <c r="C712">
        <v>168.41</v>
      </c>
      <c r="D712">
        <v>27.23</v>
      </c>
      <c r="E712" s="12">
        <f t="shared" si="24"/>
        <v>-7.9086115992970107E-3</v>
      </c>
      <c r="F712" s="12">
        <f t="shared" si="24"/>
        <v>-7.4846770391325812E-3</v>
      </c>
      <c r="G712" s="12">
        <f t="shared" si="24"/>
        <v>-1.8738738738738769E-2</v>
      </c>
    </row>
    <row r="713" spans="1:7" x14ac:dyDescent="0.3">
      <c r="A713" t="s">
        <v>747</v>
      </c>
      <c r="B713">
        <v>295.37</v>
      </c>
      <c r="C713">
        <v>163.76</v>
      </c>
      <c r="D713">
        <v>26.96</v>
      </c>
      <c r="E713" s="12">
        <f t="shared" si="24"/>
        <v>-3.1033690909687328E-2</v>
      </c>
      <c r="F713" s="12">
        <f t="shared" si="24"/>
        <v>-2.7611186984145886E-2</v>
      </c>
      <c r="G713" s="12">
        <f t="shared" si="24"/>
        <v>-9.9155343371281068E-3</v>
      </c>
    </row>
    <row r="714" spans="1:7" x14ac:dyDescent="0.3">
      <c r="A714" t="s">
        <v>748</v>
      </c>
      <c r="B714">
        <v>275.42</v>
      </c>
      <c r="C714">
        <v>163.77000000000001</v>
      </c>
      <c r="D714">
        <v>26.24</v>
      </c>
      <c r="E714" s="12">
        <f t="shared" si="24"/>
        <v>-6.7542404441886417E-2</v>
      </c>
      <c r="F714" s="12">
        <f t="shared" si="24"/>
        <v>6.1064973131630396E-5</v>
      </c>
      <c r="G714" s="12">
        <f t="shared" si="24"/>
        <v>-2.6706231454005969E-2</v>
      </c>
    </row>
    <row r="715" spans="1:7" x14ac:dyDescent="0.3">
      <c r="A715" t="s">
        <v>749</v>
      </c>
      <c r="B715">
        <v>281.77</v>
      </c>
      <c r="C715">
        <v>165.33</v>
      </c>
      <c r="D715">
        <v>27.04</v>
      </c>
      <c r="E715" s="12">
        <f t="shared" si="24"/>
        <v>2.3055696754048283E-2</v>
      </c>
      <c r="F715" s="12">
        <f t="shared" si="24"/>
        <v>9.5255541307932567E-3</v>
      </c>
      <c r="G715" s="12">
        <f t="shared" si="24"/>
        <v>3.0487804878048808E-2</v>
      </c>
    </row>
    <row r="716" spans="1:7" x14ac:dyDescent="0.3">
      <c r="A716" t="s">
        <v>750</v>
      </c>
      <c r="B716">
        <v>285.76</v>
      </c>
      <c r="C716">
        <v>165.02</v>
      </c>
      <c r="D716">
        <v>27.12</v>
      </c>
      <c r="E716" s="12">
        <f t="shared" si="24"/>
        <v>1.4160485502360043E-2</v>
      </c>
      <c r="F716" s="12">
        <f t="shared" si="24"/>
        <v>-1.8750378031815451E-3</v>
      </c>
      <c r="G716" s="12">
        <f t="shared" si="24"/>
        <v>2.9585798816569309E-3</v>
      </c>
    </row>
    <row r="717" spans="1:7" x14ac:dyDescent="0.3">
      <c r="A717" t="s">
        <v>751</v>
      </c>
      <c r="B717">
        <v>286.11</v>
      </c>
      <c r="C717">
        <v>166.65</v>
      </c>
      <c r="D717">
        <v>27.1</v>
      </c>
      <c r="E717" s="12">
        <f t="shared" si="24"/>
        <v>1.2248040313551645E-3</v>
      </c>
      <c r="F717" s="12">
        <f t="shared" si="24"/>
        <v>9.8775905950794218E-3</v>
      </c>
      <c r="G717" s="12">
        <f t="shared" si="24"/>
        <v>-7.3746312684364046E-4</v>
      </c>
    </row>
    <row r="718" spans="1:7" x14ac:dyDescent="0.3">
      <c r="A718" t="s">
        <v>752</v>
      </c>
      <c r="B718">
        <v>288.45</v>
      </c>
      <c r="C718">
        <v>167.63</v>
      </c>
      <c r="D718">
        <v>27.93</v>
      </c>
      <c r="E718" s="12">
        <f t="shared" si="24"/>
        <v>8.1786725385339931E-3</v>
      </c>
      <c r="F718" s="12">
        <f t="shared" si="24"/>
        <v>5.880588058805758E-3</v>
      </c>
      <c r="G718" s="12">
        <f t="shared" si="24"/>
        <v>3.0627306273062649E-2</v>
      </c>
    </row>
    <row r="719" spans="1:7" x14ac:dyDescent="0.3">
      <c r="A719" t="s">
        <v>753</v>
      </c>
      <c r="B719">
        <v>288.37</v>
      </c>
      <c r="C719">
        <v>166.47</v>
      </c>
      <c r="D719">
        <v>27.67</v>
      </c>
      <c r="E719" s="12">
        <f t="shared" si="24"/>
        <v>-2.7734442711035978E-4</v>
      </c>
      <c r="F719" s="12">
        <f t="shared" si="24"/>
        <v>-6.9200023862077131E-3</v>
      </c>
      <c r="G719" s="12">
        <f t="shared" si="24"/>
        <v>-9.3089867525957271E-3</v>
      </c>
    </row>
    <row r="720" spans="1:7" x14ac:dyDescent="0.3">
      <c r="A720" t="s">
        <v>754</v>
      </c>
      <c r="B720">
        <v>288.8</v>
      </c>
      <c r="C720">
        <v>165.23</v>
      </c>
      <c r="D720">
        <v>27</v>
      </c>
      <c r="E720" s="12">
        <f t="shared" si="24"/>
        <v>1.4911398550474519E-3</v>
      </c>
      <c r="F720" s="12">
        <f t="shared" si="24"/>
        <v>-7.4487895716947028E-3</v>
      </c>
      <c r="G720" s="12">
        <f t="shared" si="24"/>
        <v>-2.4213950126490857E-2</v>
      </c>
    </row>
    <row r="721" spans="1:7" x14ac:dyDescent="0.3">
      <c r="A721" t="s">
        <v>755</v>
      </c>
      <c r="B721">
        <v>286.14</v>
      </c>
      <c r="C721">
        <v>165.21</v>
      </c>
      <c r="D721">
        <v>26.76</v>
      </c>
      <c r="E721" s="12">
        <f t="shared" si="24"/>
        <v>-9.2105263157895578E-3</v>
      </c>
      <c r="F721" s="12">
        <f t="shared" si="24"/>
        <v>-1.2104339405660802E-4</v>
      </c>
      <c r="G721" s="12">
        <f t="shared" si="24"/>
        <v>-8.8888888888888351E-3</v>
      </c>
    </row>
    <row r="722" spans="1:7" x14ac:dyDescent="0.3">
      <c r="A722" t="s">
        <v>756</v>
      </c>
      <c r="B722">
        <v>289.83999999999997</v>
      </c>
      <c r="C722">
        <v>165.56</v>
      </c>
      <c r="D722">
        <v>26.46</v>
      </c>
      <c r="E722" s="12">
        <f t="shared" si="24"/>
        <v>1.2930733207520806E-2</v>
      </c>
      <c r="F722" s="12">
        <f t="shared" si="24"/>
        <v>2.1185158283396621E-3</v>
      </c>
      <c r="G722" s="12">
        <f t="shared" si="24"/>
        <v>-1.1210762331838597E-2</v>
      </c>
    </row>
    <row r="723" spans="1:7" x14ac:dyDescent="0.3">
      <c r="A723" t="s">
        <v>757</v>
      </c>
      <c r="B723">
        <v>283.49</v>
      </c>
      <c r="C723">
        <v>160.1</v>
      </c>
      <c r="D723">
        <v>26.5</v>
      </c>
      <c r="E723" s="12">
        <f t="shared" si="24"/>
        <v>-2.1908639249240802E-2</v>
      </c>
      <c r="F723" s="12">
        <f t="shared" si="24"/>
        <v>-3.2978980430055649E-2</v>
      </c>
      <c r="G723" s="12">
        <f t="shared" si="24"/>
        <v>1.5117157974300355E-3</v>
      </c>
    </row>
    <row r="724" spans="1:7" x14ac:dyDescent="0.3">
      <c r="A724" t="s">
        <v>758</v>
      </c>
      <c r="B724">
        <v>282.83</v>
      </c>
      <c r="C724">
        <v>160.80000000000001</v>
      </c>
      <c r="D724">
        <v>27.17</v>
      </c>
      <c r="E724" s="12">
        <f t="shared" si="24"/>
        <v>-2.3281244488342345E-3</v>
      </c>
      <c r="F724" s="12">
        <f t="shared" si="24"/>
        <v>4.372267332916957E-3</v>
      </c>
      <c r="G724" s="12">
        <f t="shared" si="24"/>
        <v>2.52830188679245E-2</v>
      </c>
    </row>
    <row r="725" spans="1:7" x14ac:dyDescent="0.3">
      <c r="A725" t="s">
        <v>759</v>
      </c>
      <c r="B725">
        <v>289.39</v>
      </c>
      <c r="C725">
        <v>162.03</v>
      </c>
      <c r="D725">
        <v>27.58</v>
      </c>
      <c r="E725" s="12">
        <f t="shared" si="24"/>
        <v>2.3194144892691781E-2</v>
      </c>
      <c r="F725" s="12">
        <f t="shared" si="24"/>
        <v>7.6492537313432862E-3</v>
      </c>
      <c r="G725" s="12">
        <f t="shared" si="24"/>
        <v>1.5090172984909778E-2</v>
      </c>
    </row>
    <row r="726" spans="1:7" x14ac:dyDescent="0.3">
      <c r="A726" t="s">
        <v>760</v>
      </c>
      <c r="B726">
        <v>291.60000000000002</v>
      </c>
      <c r="C726">
        <v>164.66</v>
      </c>
      <c r="D726">
        <v>27.04</v>
      </c>
      <c r="E726" s="12">
        <f t="shared" si="24"/>
        <v>7.636753170462196E-3</v>
      </c>
      <c r="F726" s="12">
        <f t="shared" si="24"/>
        <v>1.6231562056409299E-2</v>
      </c>
      <c r="G726" s="12">
        <f t="shared" si="24"/>
        <v>-1.9579405366207392E-2</v>
      </c>
    </row>
    <row r="727" spans="1:7" x14ac:dyDescent="0.3">
      <c r="A727" t="s">
        <v>761</v>
      </c>
      <c r="B727">
        <v>284.33999999999997</v>
      </c>
      <c r="C727">
        <v>163.76</v>
      </c>
      <c r="D727">
        <v>26.88</v>
      </c>
      <c r="E727" s="12">
        <f t="shared" si="24"/>
        <v>-2.4897119341563911E-2</v>
      </c>
      <c r="F727" s="12">
        <f t="shared" si="24"/>
        <v>-5.4658083323211315E-3</v>
      </c>
      <c r="G727" s="12">
        <f t="shared" si="24"/>
        <v>-5.9171597633136397E-3</v>
      </c>
    </row>
    <row r="728" spans="1:7" x14ac:dyDescent="0.3">
      <c r="A728" t="s">
        <v>762</v>
      </c>
      <c r="B728">
        <v>287.18</v>
      </c>
      <c r="C728">
        <v>165.63</v>
      </c>
      <c r="D728">
        <v>27.45</v>
      </c>
      <c r="E728" s="12">
        <f t="shared" si="24"/>
        <v>9.9880424843499238E-3</v>
      </c>
      <c r="F728" s="12">
        <f t="shared" si="24"/>
        <v>1.1419149975574028E-2</v>
      </c>
      <c r="G728" s="12">
        <f t="shared" si="24"/>
        <v>2.1205357142857206E-2</v>
      </c>
    </row>
    <row r="729" spans="1:7" x14ac:dyDescent="0.3">
      <c r="A729" t="s">
        <v>763</v>
      </c>
      <c r="B729">
        <v>287.23</v>
      </c>
      <c r="C729">
        <v>166.17</v>
      </c>
      <c r="D729">
        <v>27.97</v>
      </c>
      <c r="E729" s="12">
        <f t="shared" si="24"/>
        <v>1.7410683195207E-4</v>
      </c>
      <c r="F729" s="12">
        <f t="shared" si="24"/>
        <v>3.2602789349756023E-3</v>
      </c>
      <c r="G729" s="12">
        <f t="shared" si="24"/>
        <v>1.894353369763202E-2</v>
      </c>
    </row>
    <row r="730" spans="1:7" x14ac:dyDescent="0.3">
      <c r="A730" t="s">
        <v>764</v>
      </c>
      <c r="B730">
        <v>288.3</v>
      </c>
      <c r="C730">
        <v>164.9</v>
      </c>
      <c r="D730">
        <v>27.78</v>
      </c>
      <c r="E730" s="12">
        <f t="shared" si="24"/>
        <v>3.7252376144552013E-3</v>
      </c>
      <c r="F730" s="12">
        <f t="shared" si="24"/>
        <v>-7.6427754709031959E-3</v>
      </c>
      <c r="G730" s="12">
        <f t="shared" si="24"/>
        <v>-6.7929924919556406E-3</v>
      </c>
    </row>
    <row r="731" spans="1:7" x14ac:dyDescent="0.3">
      <c r="A731" t="s">
        <v>765</v>
      </c>
      <c r="B731">
        <v>284.05</v>
      </c>
      <c r="C731">
        <v>162.36000000000001</v>
      </c>
      <c r="D731">
        <v>27.38</v>
      </c>
      <c r="E731" s="12">
        <f t="shared" si="24"/>
        <v>-1.4741588622962154E-2</v>
      </c>
      <c r="F731" s="12">
        <f t="shared" si="24"/>
        <v>-1.540327471194658E-2</v>
      </c>
      <c r="G731" s="12">
        <f t="shared" si="24"/>
        <v>-1.439884809215275E-2</v>
      </c>
    </row>
    <row r="732" spans="1:7" x14ac:dyDescent="0.3">
      <c r="A732" t="s">
        <v>766</v>
      </c>
      <c r="B732">
        <v>280.51</v>
      </c>
      <c r="C732">
        <v>160.77000000000001</v>
      </c>
      <c r="D732">
        <v>26.98</v>
      </c>
      <c r="E732" s="12">
        <f t="shared" si="24"/>
        <v>-1.2462594613624423E-2</v>
      </c>
      <c r="F732" s="12">
        <f t="shared" si="24"/>
        <v>-9.7930524759792803E-3</v>
      </c>
      <c r="G732" s="12">
        <f t="shared" si="24"/>
        <v>-1.4609203798392922E-2</v>
      </c>
    </row>
    <row r="733" spans="1:7" x14ac:dyDescent="0.3">
      <c r="A733" t="s">
        <v>767</v>
      </c>
      <c r="B733">
        <v>275.23</v>
      </c>
      <c r="C733">
        <v>157.65</v>
      </c>
      <c r="D733">
        <v>26.41</v>
      </c>
      <c r="E733" s="12">
        <f t="shared" si="24"/>
        <v>-1.8822858365120543E-2</v>
      </c>
      <c r="F733" s="12">
        <f t="shared" si="24"/>
        <v>-1.9406605710020508E-2</v>
      </c>
      <c r="G733" s="12">
        <f t="shared" si="24"/>
        <v>-2.1126760563380254E-2</v>
      </c>
    </row>
    <row r="734" spans="1:7" x14ac:dyDescent="0.3">
      <c r="A734" t="s">
        <v>768</v>
      </c>
      <c r="B734">
        <v>276.38</v>
      </c>
      <c r="C734">
        <v>158.28</v>
      </c>
      <c r="D734">
        <v>26.53</v>
      </c>
      <c r="E734" s="12">
        <f t="shared" si="24"/>
        <v>4.1783235839114585E-3</v>
      </c>
      <c r="F734" s="12">
        <f t="shared" si="24"/>
        <v>3.9961941008563873E-3</v>
      </c>
      <c r="G734" s="12">
        <f t="shared" si="24"/>
        <v>4.5437334343052527E-3</v>
      </c>
    </row>
    <row r="735" spans="1:7" x14ac:dyDescent="0.3">
      <c r="A735" t="s">
        <v>769</v>
      </c>
      <c r="B735">
        <v>280.57</v>
      </c>
      <c r="C735">
        <v>160.25</v>
      </c>
      <c r="D735">
        <v>26.78</v>
      </c>
      <c r="E735" s="12">
        <f t="shared" si="24"/>
        <v>1.5160286561979985E-2</v>
      </c>
      <c r="F735" s="12">
        <f t="shared" si="24"/>
        <v>1.2446297700277942E-2</v>
      </c>
      <c r="G735" s="12">
        <f t="shared" si="24"/>
        <v>9.423294383716474E-3</v>
      </c>
    </row>
    <row r="736" spans="1:7" x14ac:dyDescent="0.3">
      <c r="A736" t="s">
        <v>770</v>
      </c>
      <c r="B736">
        <v>277.66000000000003</v>
      </c>
      <c r="C736">
        <v>158.93</v>
      </c>
      <c r="D736">
        <v>27.19</v>
      </c>
      <c r="E736" s="12">
        <f t="shared" si="24"/>
        <v>-1.0371743236981756E-2</v>
      </c>
      <c r="F736" s="12">
        <f t="shared" si="24"/>
        <v>-8.2371294851794064E-3</v>
      </c>
      <c r="G736" s="12">
        <f t="shared" si="24"/>
        <v>1.5309932785660951E-2</v>
      </c>
    </row>
    <row r="737" spans="1:7" x14ac:dyDescent="0.3">
      <c r="A737" t="s">
        <v>771</v>
      </c>
      <c r="B737">
        <v>272.29000000000002</v>
      </c>
      <c r="C737">
        <v>157.83000000000001</v>
      </c>
      <c r="D737">
        <v>26.47</v>
      </c>
      <c r="E737" s="12">
        <f t="shared" si="24"/>
        <v>-1.9340200244903905E-2</v>
      </c>
      <c r="F737" s="12">
        <f t="shared" si="24"/>
        <v>-6.9212861007990067E-3</v>
      </c>
      <c r="G737" s="12">
        <f t="shared" si="24"/>
        <v>-2.648032364840025E-2</v>
      </c>
    </row>
    <row r="738" spans="1:7" x14ac:dyDescent="0.3">
      <c r="A738" t="s">
        <v>772</v>
      </c>
      <c r="B738">
        <v>273.77999999999997</v>
      </c>
      <c r="C738">
        <v>159.28</v>
      </c>
      <c r="D738">
        <v>26.2</v>
      </c>
      <c r="E738" s="12">
        <f t="shared" si="24"/>
        <v>5.4721069448013804E-3</v>
      </c>
      <c r="F738" s="12">
        <f t="shared" si="24"/>
        <v>9.1871000443515261E-3</v>
      </c>
      <c r="G738" s="12">
        <f t="shared" si="24"/>
        <v>-1.0200226671703838E-2</v>
      </c>
    </row>
    <row r="739" spans="1:7" x14ac:dyDescent="0.3">
      <c r="A739" t="s">
        <v>773</v>
      </c>
      <c r="B739">
        <v>272.23</v>
      </c>
      <c r="C739">
        <v>157.4</v>
      </c>
      <c r="D739">
        <v>25.9</v>
      </c>
      <c r="E739" s="12">
        <f t="shared" si="24"/>
        <v>-5.6614800204541904E-3</v>
      </c>
      <c r="F739" s="12">
        <f t="shared" si="24"/>
        <v>-1.180311401305878E-2</v>
      </c>
      <c r="G739" s="12">
        <f t="shared" si="24"/>
        <v>-1.1450381679389388E-2</v>
      </c>
    </row>
    <row r="740" spans="1:7" x14ac:dyDescent="0.3">
      <c r="A740" t="s">
        <v>774</v>
      </c>
      <c r="B740">
        <v>279.43</v>
      </c>
      <c r="C740">
        <v>155</v>
      </c>
      <c r="D740">
        <v>25.73</v>
      </c>
      <c r="E740" s="12">
        <f t="shared" si="24"/>
        <v>2.6448223928295933E-2</v>
      </c>
      <c r="F740" s="12">
        <f t="shared" si="24"/>
        <v>-1.5247776365946653E-2</v>
      </c>
      <c r="G740" s="12">
        <f t="shared" si="24"/>
        <v>-6.5637065637065284E-3</v>
      </c>
    </row>
    <row r="741" spans="1:7" x14ac:dyDescent="0.3">
      <c r="A741" t="s">
        <v>775</v>
      </c>
      <c r="B741">
        <v>276.2</v>
      </c>
      <c r="C741">
        <v>155.85</v>
      </c>
      <c r="D741">
        <v>25.54</v>
      </c>
      <c r="E741" s="12">
        <f t="shared" si="24"/>
        <v>-1.1559245607128843E-2</v>
      </c>
      <c r="F741" s="12">
        <f t="shared" si="24"/>
        <v>5.4838709677418329E-3</v>
      </c>
      <c r="G741" s="12">
        <f t="shared" si="24"/>
        <v>-7.3843762145355818E-3</v>
      </c>
    </row>
    <row r="742" spans="1:7" x14ac:dyDescent="0.3">
      <c r="A742" t="s">
        <v>776</v>
      </c>
      <c r="B742">
        <v>265.44</v>
      </c>
      <c r="C742">
        <v>152.99</v>
      </c>
      <c r="D742">
        <v>24.23</v>
      </c>
      <c r="E742" s="12">
        <f t="shared" si="24"/>
        <v>-3.8957277335264218E-2</v>
      </c>
      <c r="F742" s="12">
        <f t="shared" si="24"/>
        <v>-1.8350978504972582E-2</v>
      </c>
      <c r="G742" s="12">
        <f t="shared" si="24"/>
        <v>-5.1292090837901316E-2</v>
      </c>
    </row>
    <row r="743" spans="1:7" x14ac:dyDescent="0.3">
      <c r="A743" t="s">
        <v>777</v>
      </c>
      <c r="B743">
        <v>260.79000000000002</v>
      </c>
      <c r="C743">
        <v>152.59</v>
      </c>
      <c r="D743">
        <v>24.06</v>
      </c>
      <c r="E743" s="12">
        <f t="shared" si="24"/>
        <v>-1.7518083182640032E-2</v>
      </c>
      <c r="F743" s="12">
        <f t="shared" si="24"/>
        <v>-2.6145499705862996E-3</v>
      </c>
      <c r="G743" s="12">
        <f t="shared" si="24"/>
        <v>-7.0160957490714715E-3</v>
      </c>
    </row>
    <row r="744" spans="1:7" x14ac:dyDescent="0.3">
      <c r="A744" t="s">
        <v>778</v>
      </c>
      <c r="B744">
        <v>253.92</v>
      </c>
      <c r="C744">
        <v>150.47</v>
      </c>
      <c r="D744">
        <v>22.97</v>
      </c>
      <c r="E744" s="12">
        <f t="shared" si="24"/>
        <v>-2.6343034625560868E-2</v>
      </c>
      <c r="F744" s="12">
        <f t="shared" si="24"/>
        <v>-1.389343993708636E-2</v>
      </c>
      <c r="G744" s="12">
        <f t="shared" si="24"/>
        <v>-4.5303408146300961E-2</v>
      </c>
    </row>
    <row r="745" spans="1:7" x14ac:dyDescent="0.3">
      <c r="A745" t="s">
        <v>779</v>
      </c>
      <c r="B745">
        <v>248.59</v>
      </c>
      <c r="C745">
        <v>148.5</v>
      </c>
      <c r="D745">
        <v>22.97</v>
      </c>
      <c r="E745" s="12">
        <f t="shared" si="24"/>
        <v>-2.099086326402011E-2</v>
      </c>
      <c r="F745" s="12">
        <f t="shared" si="24"/>
        <v>-1.3092310759619807E-2</v>
      </c>
      <c r="G745" s="12">
        <f t="shared" si="24"/>
        <v>0</v>
      </c>
    </row>
    <row r="746" spans="1:7" x14ac:dyDescent="0.3">
      <c r="A746" t="s">
        <v>780</v>
      </c>
      <c r="B746">
        <v>252.32</v>
      </c>
      <c r="C746">
        <v>150.59</v>
      </c>
      <c r="D746">
        <v>23.44</v>
      </c>
      <c r="E746" s="12">
        <f t="shared" si="24"/>
        <v>1.500462609115405E-2</v>
      </c>
      <c r="F746" s="12">
        <f t="shared" si="24"/>
        <v>1.4074074074074128E-2</v>
      </c>
      <c r="G746" s="12">
        <f t="shared" si="24"/>
        <v>2.0461471484545246E-2</v>
      </c>
    </row>
    <row r="747" spans="1:7" x14ac:dyDescent="0.3">
      <c r="A747" t="s">
        <v>781</v>
      </c>
      <c r="B747">
        <v>253.7</v>
      </c>
      <c r="C747">
        <v>152.87</v>
      </c>
      <c r="D747">
        <v>24.18</v>
      </c>
      <c r="E747" s="12">
        <f t="shared" si="24"/>
        <v>5.4692454026632475E-3</v>
      </c>
      <c r="F747" s="12">
        <f t="shared" si="24"/>
        <v>1.5140447572880023E-2</v>
      </c>
      <c r="G747" s="12">
        <f t="shared" si="24"/>
        <v>3.1569965870307026E-2</v>
      </c>
    </row>
    <row r="748" spans="1:7" x14ac:dyDescent="0.3">
      <c r="A748" t="s">
        <v>782</v>
      </c>
      <c r="B748">
        <v>254.15</v>
      </c>
      <c r="C748">
        <v>151.6</v>
      </c>
      <c r="D748">
        <v>23.29</v>
      </c>
      <c r="E748" s="12">
        <f t="shared" si="24"/>
        <v>1.7737485218762838E-3</v>
      </c>
      <c r="F748" s="12">
        <f t="shared" si="24"/>
        <v>-8.3077124354027365E-3</v>
      </c>
      <c r="G748" s="12">
        <f t="shared" si="24"/>
        <v>-3.6807278742762684E-2</v>
      </c>
    </row>
    <row r="749" spans="1:7" x14ac:dyDescent="0.3">
      <c r="A749" t="s">
        <v>783</v>
      </c>
      <c r="B749">
        <v>256.87</v>
      </c>
      <c r="C749">
        <v>153.83000000000001</v>
      </c>
      <c r="D749">
        <v>23.55</v>
      </c>
      <c r="E749" s="12">
        <f t="shared" si="24"/>
        <v>1.070234113712365E-2</v>
      </c>
      <c r="F749" s="12">
        <f t="shared" si="24"/>
        <v>1.4709762532981729E-2</v>
      </c>
      <c r="G749" s="12">
        <f t="shared" si="24"/>
        <v>1.1163589523400574E-2</v>
      </c>
    </row>
    <row r="750" spans="1:7" x14ac:dyDescent="0.3">
      <c r="A750" t="s">
        <v>784</v>
      </c>
      <c r="B750">
        <v>255.29</v>
      </c>
      <c r="C750">
        <v>151.03</v>
      </c>
      <c r="D750">
        <v>23.89</v>
      </c>
      <c r="E750" s="12">
        <f t="shared" si="24"/>
        <v>-6.1509713084439976E-3</v>
      </c>
      <c r="F750" s="12">
        <f t="shared" si="24"/>
        <v>-1.8201911200676157E-2</v>
      </c>
      <c r="G750" s="12">
        <f t="shared" si="24"/>
        <v>1.4437367303609339E-2</v>
      </c>
    </row>
    <row r="751" spans="1:7" x14ac:dyDescent="0.3">
      <c r="A751" t="s">
        <v>785</v>
      </c>
      <c r="B751">
        <v>251.11</v>
      </c>
      <c r="C751">
        <v>145.91</v>
      </c>
      <c r="D751">
        <v>23.31</v>
      </c>
      <c r="E751" s="12">
        <f t="shared" si="24"/>
        <v>-1.6373535978690845E-2</v>
      </c>
      <c r="F751" s="12">
        <f t="shared" si="24"/>
        <v>-3.390054955969013E-2</v>
      </c>
      <c r="G751" s="12">
        <f t="shared" si="24"/>
        <v>-2.4277940560904265E-2</v>
      </c>
    </row>
    <row r="752" spans="1:7" x14ac:dyDescent="0.3">
      <c r="A752" t="s">
        <v>786</v>
      </c>
      <c r="B752">
        <v>246.27</v>
      </c>
      <c r="C752">
        <v>145.31</v>
      </c>
      <c r="D752">
        <v>22.7</v>
      </c>
      <c r="E752" s="12">
        <f t="shared" si="24"/>
        <v>-1.9274421568236999E-2</v>
      </c>
      <c r="F752" s="12">
        <f t="shared" si="24"/>
        <v>-4.1121239120005537E-3</v>
      </c>
      <c r="G752" s="12">
        <f t="shared" si="24"/>
        <v>-2.6169026169026166E-2</v>
      </c>
    </row>
    <row r="753" spans="1:7" x14ac:dyDescent="0.3">
      <c r="A753" t="s">
        <v>787</v>
      </c>
      <c r="B753">
        <v>249.42</v>
      </c>
      <c r="C753">
        <v>147.41</v>
      </c>
      <c r="D753">
        <v>23.22</v>
      </c>
      <c r="E753" s="12">
        <f t="shared" si="24"/>
        <v>1.2790839322694536E-2</v>
      </c>
      <c r="F753" s="12">
        <f t="shared" si="24"/>
        <v>1.4451861537402744E-2</v>
      </c>
      <c r="G753" s="12">
        <f t="shared" si="24"/>
        <v>2.2907488986784186E-2</v>
      </c>
    </row>
    <row r="754" spans="1:7" x14ac:dyDescent="0.3">
      <c r="A754" t="s">
        <v>788</v>
      </c>
      <c r="B754">
        <v>250.16</v>
      </c>
      <c r="C754">
        <v>147.91999999999999</v>
      </c>
      <c r="D754">
        <v>23.5</v>
      </c>
      <c r="E754" s="12">
        <f t="shared" si="24"/>
        <v>2.9668831689519948E-3</v>
      </c>
      <c r="F754" s="12">
        <f t="shared" si="24"/>
        <v>3.4597381453089771E-3</v>
      </c>
      <c r="G754" s="12">
        <f t="shared" si="24"/>
        <v>1.2058570198105079E-2</v>
      </c>
    </row>
    <row r="755" spans="1:7" x14ac:dyDescent="0.3">
      <c r="A755" t="s">
        <v>789</v>
      </c>
      <c r="B755">
        <v>249.22</v>
      </c>
      <c r="C755">
        <v>146.71</v>
      </c>
      <c r="D755">
        <v>23.29</v>
      </c>
      <c r="E755" s="12">
        <f t="shared" si="24"/>
        <v>-3.757595139111003E-3</v>
      </c>
      <c r="F755" s="12">
        <f t="shared" si="24"/>
        <v>-8.1800973499187579E-3</v>
      </c>
      <c r="G755" s="12">
        <f t="shared" si="24"/>
        <v>-8.9361702127660481E-3</v>
      </c>
    </row>
    <row r="756" spans="1:7" x14ac:dyDescent="0.3">
      <c r="A756" t="s">
        <v>790</v>
      </c>
      <c r="B756">
        <v>254.77</v>
      </c>
      <c r="C756">
        <v>149.4</v>
      </c>
      <c r="D756">
        <v>23.66</v>
      </c>
      <c r="E756" s="12">
        <f t="shared" si="24"/>
        <v>2.2269480780033657E-2</v>
      </c>
      <c r="F756" s="12">
        <f t="shared" si="24"/>
        <v>1.8335491786517499E-2</v>
      </c>
      <c r="G756" s="12">
        <f t="shared" si="24"/>
        <v>1.5886646629454715E-2</v>
      </c>
    </row>
    <row r="757" spans="1:7" x14ac:dyDescent="0.3">
      <c r="A757" t="s">
        <v>791</v>
      </c>
      <c r="B757">
        <v>251.51</v>
      </c>
      <c r="C757">
        <v>148.91</v>
      </c>
      <c r="D757">
        <v>20.75</v>
      </c>
      <c r="E757" s="12">
        <f t="shared" si="24"/>
        <v>-1.2795855084978713E-2</v>
      </c>
      <c r="F757" s="12">
        <f t="shared" si="24"/>
        <v>-3.2797858099063992E-3</v>
      </c>
      <c r="G757" s="12">
        <f t="shared" si="24"/>
        <v>-0.1229923922231615</v>
      </c>
    </row>
    <row r="758" spans="1:7" x14ac:dyDescent="0.3">
      <c r="A758" t="s">
        <v>792</v>
      </c>
      <c r="B758">
        <v>252.67</v>
      </c>
      <c r="C758">
        <v>148.47999999999999</v>
      </c>
      <c r="D758">
        <v>20.66</v>
      </c>
      <c r="E758" s="12">
        <f t="shared" si="24"/>
        <v>4.6121426583436431E-3</v>
      </c>
      <c r="F758" s="12">
        <f t="shared" si="24"/>
        <v>-2.8876502585454267E-3</v>
      </c>
      <c r="G758" s="12">
        <f t="shared" si="24"/>
        <v>-4.3373493975903399E-3</v>
      </c>
    </row>
    <row r="759" spans="1:7" x14ac:dyDescent="0.3">
      <c r="A759" t="s">
        <v>793</v>
      </c>
      <c r="B759">
        <v>258.06</v>
      </c>
      <c r="C759">
        <v>152.55000000000001</v>
      </c>
      <c r="D759">
        <v>21.39</v>
      </c>
      <c r="E759" s="12">
        <f t="shared" si="24"/>
        <v>2.1332172398781157E-2</v>
      </c>
      <c r="F759" s="12">
        <f t="shared" si="24"/>
        <v>2.7411099137931272E-2</v>
      </c>
      <c r="G759" s="12">
        <f t="shared" si="24"/>
        <v>3.53339787028073E-2</v>
      </c>
    </row>
    <row r="760" spans="1:7" x14ac:dyDescent="0.3">
      <c r="A760" t="s">
        <v>794</v>
      </c>
      <c r="B760">
        <v>262.14999999999998</v>
      </c>
      <c r="C760">
        <v>153.71</v>
      </c>
      <c r="D760">
        <v>22</v>
      </c>
      <c r="E760" s="12">
        <f t="shared" si="24"/>
        <v>1.5849027357978773E-2</v>
      </c>
      <c r="F760" s="12">
        <f t="shared" si="24"/>
        <v>7.6040642412322779E-3</v>
      </c>
      <c r="G760" s="12">
        <f t="shared" si="24"/>
        <v>2.8517999064983535E-2</v>
      </c>
    </row>
    <row r="761" spans="1:7" x14ac:dyDescent="0.3">
      <c r="A761" t="s">
        <v>795</v>
      </c>
      <c r="B761">
        <v>269.32</v>
      </c>
      <c r="C761">
        <v>155.33000000000001</v>
      </c>
      <c r="D761">
        <v>22.76</v>
      </c>
      <c r="E761" s="12">
        <f t="shared" si="24"/>
        <v>2.7350753385466442E-2</v>
      </c>
      <c r="F761" s="12">
        <f t="shared" si="24"/>
        <v>1.0539327304664559E-2</v>
      </c>
      <c r="G761" s="12">
        <f t="shared" si="24"/>
        <v>3.4545454545454657E-2</v>
      </c>
    </row>
    <row r="762" spans="1:7" x14ac:dyDescent="0.3">
      <c r="A762" t="s">
        <v>796</v>
      </c>
      <c r="B762">
        <v>272.17</v>
      </c>
      <c r="C762">
        <v>153.19999999999999</v>
      </c>
      <c r="D762">
        <v>22.97</v>
      </c>
      <c r="E762" s="12">
        <f t="shared" si="24"/>
        <v>1.0582207039952607E-2</v>
      </c>
      <c r="F762" s="12">
        <f t="shared" si="24"/>
        <v>-1.371274061675154E-2</v>
      </c>
      <c r="G762" s="12">
        <f t="shared" si="24"/>
        <v>9.2267135325130312E-3</v>
      </c>
    </row>
    <row r="763" spans="1:7" x14ac:dyDescent="0.3">
      <c r="A763" t="s">
        <v>797</v>
      </c>
      <c r="B763">
        <v>271.32</v>
      </c>
      <c r="C763">
        <v>153.85</v>
      </c>
      <c r="D763">
        <v>21.79</v>
      </c>
      <c r="E763" s="12">
        <f t="shared" si="24"/>
        <v>-3.1230480949407946E-3</v>
      </c>
      <c r="F763" s="12">
        <f t="shared" si="24"/>
        <v>4.2428198433421827E-3</v>
      </c>
      <c r="G763" s="12">
        <f t="shared" si="24"/>
        <v>-5.1371353939921649E-2</v>
      </c>
    </row>
    <row r="764" spans="1:7" x14ac:dyDescent="0.3">
      <c r="A764" t="s">
        <v>798</v>
      </c>
      <c r="B764">
        <v>263.10000000000002</v>
      </c>
      <c r="C764">
        <v>151.01</v>
      </c>
      <c r="D764">
        <v>21.26</v>
      </c>
      <c r="E764" s="12">
        <f t="shared" si="24"/>
        <v>-3.0296329057938887E-2</v>
      </c>
      <c r="F764" s="12">
        <f t="shared" si="24"/>
        <v>-1.8459538511537255E-2</v>
      </c>
      <c r="G764" s="12">
        <f t="shared" si="24"/>
        <v>-2.4323083983478599E-2</v>
      </c>
    </row>
    <row r="765" spans="1:7" x14ac:dyDescent="0.3">
      <c r="A765" t="s">
        <v>799</v>
      </c>
      <c r="B765">
        <v>263.62</v>
      </c>
      <c r="C765">
        <v>150.87</v>
      </c>
      <c r="D765">
        <v>22.34</v>
      </c>
      <c r="E765" s="12">
        <f t="shared" si="24"/>
        <v>1.9764348156594558E-3</v>
      </c>
      <c r="F765" s="12">
        <f t="shared" si="24"/>
        <v>-9.2709092113096858E-4</v>
      </c>
      <c r="G765" s="12">
        <f t="shared" si="24"/>
        <v>5.0799623706490937E-2</v>
      </c>
    </row>
    <row r="766" spans="1:7" x14ac:dyDescent="0.3">
      <c r="A766" t="s">
        <v>800</v>
      </c>
      <c r="B766">
        <v>266.73</v>
      </c>
      <c r="C766">
        <v>151.91999999999999</v>
      </c>
      <c r="D766">
        <v>22.2</v>
      </c>
      <c r="E766" s="12">
        <f t="shared" si="24"/>
        <v>1.179728396934987E-2</v>
      </c>
      <c r="F766" s="12">
        <f t="shared" si="24"/>
        <v>6.9596341220916624E-3</v>
      </c>
      <c r="G766" s="12">
        <f t="shared" si="24"/>
        <v>-6.2667860340197556E-3</v>
      </c>
    </row>
    <row r="767" spans="1:7" x14ac:dyDescent="0.3">
      <c r="A767" t="s">
        <v>801</v>
      </c>
      <c r="B767">
        <v>267.56</v>
      </c>
      <c r="C767">
        <v>154.65</v>
      </c>
      <c r="D767">
        <v>22.17</v>
      </c>
      <c r="E767" s="12">
        <f t="shared" si="24"/>
        <v>3.1117609567727911E-3</v>
      </c>
      <c r="F767" s="12">
        <f t="shared" si="24"/>
        <v>1.7969984202211853E-2</v>
      </c>
      <c r="G767" s="12">
        <f t="shared" si="24"/>
        <v>-1.3513513513512265E-3</v>
      </c>
    </row>
    <row r="768" spans="1:7" x14ac:dyDescent="0.3">
      <c r="A768" t="s">
        <v>802</v>
      </c>
      <c r="B768">
        <v>256.77</v>
      </c>
      <c r="C768">
        <v>151.72999999999999</v>
      </c>
      <c r="D768">
        <v>21.09</v>
      </c>
      <c r="E768" s="12">
        <f t="shared" si="24"/>
        <v>-4.0327403199282519E-2</v>
      </c>
      <c r="F768" s="12">
        <f t="shared" si="24"/>
        <v>-1.8881344972518699E-2</v>
      </c>
      <c r="G768" s="12">
        <f t="shared" si="24"/>
        <v>-4.8714479025710467E-2</v>
      </c>
    </row>
    <row r="769" spans="1:7" x14ac:dyDescent="0.3">
      <c r="A769" t="s">
        <v>803</v>
      </c>
      <c r="B769">
        <v>258.35000000000002</v>
      </c>
      <c r="C769">
        <v>154.5</v>
      </c>
      <c r="D769">
        <v>21.1</v>
      </c>
      <c r="E769" s="12">
        <f t="shared" si="24"/>
        <v>6.1533668263427099E-3</v>
      </c>
      <c r="F769" s="12">
        <f t="shared" si="24"/>
        <v>1.8256112832004234E-2</v>
      </c>
      <c r="G769" s="12">
        <f t="shared" si="24"/>
        <v>4.7415836889519447E-4</v>
      </c>
    </row>
    <row r="770" spans="1:7" x14ac:dyDescent="0.3">
      <c r="A770" t="s">
        <v>804</v>
      </c>
      <c r="B770">
        <v>264.60000000000002</v>
      </c>
      <c r="C770">
        <v>150.82</v>
      </c>
      <c r="D770">
        <v>21.71</v>
      </c>
      <c r="E770" s="12">
        <f t="shared" si="24"/>
        <v>2.4191987613702448E-2</v>
      </c>
      <c r="F770" s="12">
        <f t="shared" si="24"/>
        <v>-2.3818770226537223E-2</v>
      </c>
      <c r="G770" s="12">
        <f t="shared" si="24"/>
        <v>2.8909952606634981E-2</v>
      </c>
    </row>
    <row r="771" spans="1:7" x14ac:dyDescent="0.3">
      <c r="A771" t="s">
        <v>805</v>
      </c>
      <c r="B771">
        <v>252.75</v>
      </c>
      <c r="C771">
        <v>145.43</v>
      </c>
      <c r="D771">
        <v>20.94</v>
      </c>
      <c r="E771" s="12">
        <f t="shared" si="24"/>
        <v>-4.4784580498866244E-2</v>
      </c>
      <c r="F771" s="12">
        <f t="shared" si="24"/>
        <v>-3.5737965787030812E-2</v>
      </c>
      <c r="G771" s="12">
        <f t="shared" si="24"/>
        <v>-3.5467526485490564E-2</v>
      </c>
    </row>
    <row r="772" spans="1:7" x14ac:dyDescent="0.3">
      <c r="A772" t="s">
        <v>806</v>
      </c>
      <c r="B772">
        <v>247.81</v>
      </c>
      <c r="C772">
        <v>144.29</v>
      </c>
      <c r="D772">
        <v>19.54</v>
      </c>
      <c r="E772" s="12">
        <f t="shared" ref="E772:G791" si="25">B772/B771-1</f>
        <v>-1.954500494559841E-2</v>
      </c>
      <c r="F772" s="12">
        <f t="shared" si="25"/>
        <v>-7.8388228013478445E-3</v>
      </c>
      <c r="G772" s="12">
        <f t="shared" si="25"/>
        <v>-6.6857688634193058E-2</v>
      </c>
    </row>
    <row r="773" spans="1:7" x14ac:dyDescent="0.3">
      <c r="A773" t="s">
        <v>807</v>
      </c>
      <c r="B773">
        <v>242.71</v>
      </c>
      <c r="C773">
        <v>143</v>
      </c>
      <c r="D773">
        <v>19.16</v>
      </c>
      <c r="E773" s="12">
        <f t="shared" si="25"/>
        <v>-2.0580283281546374E-2</v>
      </c>
      <c r="F773" s="12">
        <f t="shared" si="25"/>
        <v>-8.940328505093853E-3</v>
      </c>
      <c r="G773" s="12">
        <f t="shared" si="25"/>
        <v>-1.9447287615148356E-2</v>
      </c>
    </row>
    <row r="774" spans="1:7" x14ac:dyDescent="0.3">
      <c r="A774" t="s">
        <v>808</v>
      </c>
      <c r="B774">
        <v>248.16</v>
      </c>
      <c r="C774">
        <v>145.93</v>
      </c>
      <c r="D774">
        <v>20.36</v>
      </c>
      <c r="E774" s="12">
        <f t="shared" si="25"/>
        <v>2.2454781426393566E-2</v>
      </c>
      <c r="F774" s="12">
        <f t="shared" si="25"/>
        <v>2.0489510489510643E-2</v>
      </c>
      <c r="G774" s="12">
        <f t="shared" si="25"/>
        <v>6.2630480167014557E-2</v>
      </c>
    </row>
    <row r="775" spans="1:7" x14ac:dyDescent="0.3">
      <c r="A775" t="s">
        <v>809</v>
      </c>
      <c r="B775">
        <v>248</v>
      </c>
      <c r="C775">
        <v>143.96</v>
      </c>
      <c r="D775">
        <v>19.8</v>
      </c>
      <c r="E775" s="12">
        <f t="shared" si="25"/>
        <v>-6.447453255963298E-4</v>
      </c>
      <c r="F775" s="12">
        <f t="shared" si="25"/>
        <v>-1.3499623106969061E-2</v>
      </c>
      <c r="G775" s="12">
        <f t="shared" si="25"/>
        <v>-2.7504911591355485E-2</v>
      </c>
    </row>
    <row r="776" spans="1:7" x14ac:dyDescent="0.3">
      <c r="A776" t="s">
        <v>810</v>
      </c>
      <c r="B776">
        <v>240.61</v>
      </c>
      <c r="C776">
        <v>141.86000000000001</v>
      </c>
      <c r="D776">
        <v>19.32</v>
      </c>
      <c r="E776" s="12">
        <f t="shared" si="25"/>
        <v>-2.9798387096774182E-2</v>
      </c>
      <c r="F776" s="12">
        <f t="shared" si="25"/>
        <v>-1.4587385384829066E-2</v>
      </c>
      <c r="G776" s="12">
        <f t="shared" si="25"/>
        <v>-2.4242424242424288E-2</v>
      </c>
    </row>
    <row r="777" spans="1:7" x14ac:dyDescent="0.3">
      <c r="A777" t="s">
        <v>811</v>
      </c>
      <c r="B777">
        <v>242.04</v>
      </c>
      <c r="C777">
        <v>142.53</v>
      </c>
      <c r="D777">
        <v>19.260000000000002</v>
      </c>
      <c r="E777" s="12">
        <f t="shared" si="25"/>
        <v>5.9432276297741726E-3</v>
      </c>
      <c r="F777" s="12">
        <f t="shared" si="25"/>
        <v>4.7229663048073967E-3</v>
      </c>
      <c r="G777" s="12">
        <f t="shared" si="25"/>
        <v>-3.1055900621117516E-3</v>
      </c>
    </row>
    <row r="778" spans="1:7" x14ac:dyDescent="0.3">
      <c r="A778" t="s">
        <v>812</v>
      </c>
      <c r="B778">
        <v>242.58</v>
      </c>
      <c r="C778">
        <v>141.11000000000001</v>
      </c>
      <c r="D778">
        <v>19.190000000000001</v>
      </c>
      <c r="E778" s="12">
        <f t="shared" si="25"/>
        <v>2.2310361923649769E-3</v>
      </c>
      <c r="F778" s="12">
        <f t="shared" si="25"/>
        <v>-9.9628148459972588E-3</v>
      </c>
      <c r="G778" s="12">
        <f t="shared" si="25"/>
        <v>-3.6344755970924014E-3</v>
      </c>
    </row>
    <row r="779" spans="1:7" x14ac:dyDescent="0.3">
      <c r="A779" t="s">
        <v>813</v>
      </c>
      <c r="B779">
        <v>240.22</v>
      </c>
      <c r="C779">
        <v>137.87</v>
      </c>
      <c r="D779">
        <v>17.84</v>
      </c>
      <c r="E779" s="12">
        <f t="shared" si="25"/>
        <v>-9.7287492785885776E-3</v>
      </c>
      <c r="F779" s="12">
        <f t="shared" si="25"/>
        <v>-2.2960810715045077E-2</v>
      </c>
      <c r="G779" s="12">
        <f t="shared" si="25"/>
        <v>-7.034914017717564E-2</v>
      </c>
    </row>
    <row r="780" spans="1:7" x14ac:dyDescent="0.3">
      <c r="A780" t="s">
        <v>814</v>
      </c>
      <c r="B780">
        <v>231.93</v>
      </c>
      <c r="C780">
        <v>135.27000000000001</v>
      </c>
      <c r="D780">
        <v>16.760000000000002</v>
      </c>
      <c r="E780" s="12">
        <f t="shared" si="25"/>
        <v>-3.4510032470235541E-2</v>
      </c>
      <c r="F780" s="12">
        <f t="shared" si="25"/>
        <v>-1.8858344817581751E-2</v>
      </c>
      <c r="G780" s="12">
        <f t="shared" si="25"/>
        <v>-6.0538116591928204E-2</v>
      </c>
    </row>
    <row r="781" spans="1:7" x14ac:dyDescent="0.3">
      <c r="A781" t="s">
        <v>815</v>
      </c>
      <c r="B781">
        <v>235.81</v>
      </c>
      <c r="C781">
        <v>135.21</v>
      </c>
      <c r="D781">
        <v>17.38</v>
      </c>
      <c r="E781" s="12">
        <f t="shared" si="25"/>
        <v>1.6729185530116819E-2</v>
      </c>
      <c r="F781" s="12">
        <f t="shared" si="25"/>
        <v>-4.4355732978484941E-4</v>
      </c>
      <c r="G781" s="12">
        <f t="shared" si="25"/>
        <v>3.6992840095465329E-2</v>
      </c>
    </row>
    <row r="782" spans="1:7" x14ac:dyDescent="0.3">
      <c r="A782" t="s">
        <v>816</v>
      </c>
      <c r="B782">
        <v>240.35</v>
      </c>
      <c r="C782">
        <v>135.94</v>
      </c>
      <c r="D782">
        <v>17.7</v>
      </c>
      <c r="E782" s="12">
        <f t="shared" si="25"/>
        <v>1.9252788261736153E-2</v>
      </c>
      <c r="F782" s="12">
        <f t="shared" si="25"/>
        <v>5.3990089490421056E-3</v>
      </c>
      <c r="G782" s="12">
        <f t="shared" si="25"/>
        <v>1.8411967779056404E-2</v>
      </c>
    </row>
    <row r="783" spans="1:7" x14ac:dyDescent="0.3">
      <c r="A783" t="s">
        <v>817</v>
      </c>
      <c r="B783">
        <v>239.23</v>
      </c>
      <c r="C783">
        <v>134.76</v>
      </c>
      <c r="D783">
        <v>16.899999999999999</v>
      </c>
      <c r="E783" s="12">
        <f t="shared" si="25"/>
        <v>-4.6598710214270644E-3</v>
      </c>
      <c r="F783" s="12">
        <f t="shared" si="25"/>
        <v>-8.6803001324113893E-3</v>
      </c>
      <c r="G783" s="12">
        <f t="shared" si="25"/>
        <v>-4.5197740112994378E-2</v>
      </c>
    </row>
    <row r="784" spans="1:7" x14ac:dyDescent="0.3">
      <c r="A784" t="s">
        <v>818</v>
      </c>
      <c r="B784">
        <v>238.51</v>
      </c>
      <c r="C784">
        <v>133.41</v>
      </c>
      <c r="D784">
        <v>16.510000000000002</v>
      </c>
      <c r="E784" s="12">
        <f t="shared" si="25"/>
        <v>-3.0096559796012334E-3</v>
      </c>
      <c r="F784" s="12">
        <f t="shared" si="25"/>
        <v>-1.0017809439002656E-2</v>
      </c>
      <c r="G784" s="12">
        <f t="shared" si="25"/>
        <v>-2.3076923076922884E-2</v>
      </c>
    </row>
    <row r="785" spans="1:7" x14ac:dyDescent="0.3">
      <c r="A785" t="s">
        <v>819</v>
      </c>
      <c r="B785">
        <v>235.77</v>
      </c>
      <c r="C785">
        <v>133.49</v>
      </c>
      <c r="D785">
        <v>16</v>
      </c>
      <c r="E785" s="12">
        <f t="shared" si="25"/>
        <v>-1.1487987925034471E-2</v>
      </c>
      <c r="F785" s="12">
        <f t="shared" si="25"/>
        <v>5.9965519826099545E-4</v>
      </c>
      <c r="G785" s="12">
        <f t="shared" si="25"/>
        <v>-3.0890369473046686E-2</v>
      </c>
    </row>
    <row r="786" spans="1:7" x14ac:dyDescent="0.3">
      <c r="A786" t="s">
        <v>820</v>
      </c>
      <c r="B786">
        <v>228.85</v>
      </c>
      <c r="C786">
        <v>130.72999999999999</v>
      </c>
      <c r="D786">
        <v>15.91</v>
      </c>
      <c r="E786" s="12">
        <f t="shared" si="25"/>
        <v>-2.9350638333969559E-2</v>
      </c>
      <c r="F786" s="12">
        <f t="shared" si="25"/>
        <v>-2.0675706045396813E-2</v>
      </c>
      <c r="G786" s="12">
        <f t="shared" si="25"/>
        <v>-5.6249999999999911E-3</v>
      </c>
    </row>
    <row r="787" spans="1:7" x14ac:dyDescent="0.3">
      <c r="A787" t="s">
        <v>821</v>
      </c>
      <c r="B787">
        <v>227.12</v>
      </c>
      <c r="C787">
        <v>130.15</v>
      </c>
      <c r="D787">
        <v>15.63</v>
      </c>
      <c r="E787" s="12">
        <f t="shared" si="25"/>
        <v>-7.5595368145072728E-3</v>
      </c>
      <c r="F787" s="12">
        <f t="shared" si="25"/>
        <v>-4.4366251051785044E-3</v>
      </c>
      <c r="G787" s="12">
        <f t="shared" si="25"/>
        <v>-1.7598994343180352E-2</v>
      </c>
    </row>
    <row r="788" spans="1:7" x14ac:dyDescent="0.3">
      <c r="A788" t="s">
        <v>822</v>
      </c>
      <c r="B788">
        <v>224.93</v>
      </c>
      <c r="C788">
        <v>129.62</v>
      </c>
      <c r="D788">
        <v>14.86</v>
      </c>
      <c r="E788" s="12">
        <f t="shared" si="25"/>
        <v>-9.6424797463895429E-3</v>
      </c>
      <c r="F788" s="12">
        <f t="shared" si="25"/>
        <v>-4.0722243565117777E-3</v>
      </c>
      <c r="G788" s="12">
        <f t="shared" si="25"/>
        <v>-4.9264235444657745E-2</v>
      </c>
    </row>
    <row r="789" spans="1:7" x14ac:dyDescent="0.3">
      <c r="A789" t="s">
        <v>823</v>
      </c>
      <c r="B789">
        <v>222.31</v>
      </c>
      <c r="C789">
        <v>125.02</v>
      </c>
      <c r="D789">
        <v>14.27</v>
      </c>
      <c r="E789" s="12">
        <f t="shared" si="25"/>
        <v>-1.1648068287911761E-2</v>
      </c>
      <c r="F789" s="12">
        <f t="shared" si="25"/>
        <v>-3.5488350563184778E-2</v>
      </c>
      <c r="G789" s="12">
        <f t="shared" si="25"/>
        <v>-3.970390309555849E-2</v>
      </c>
    </row>
    <row r="790" spans="1:7" x14ac:dyDescent="0.3">
      <c r="A790" t="s">
        <v>824</v>
      </c>
      <c r="B790">
        <v>229.1</v>
      </c>
      <c r="C790">
        <v>126.36</v>
      </c>
      <c r="D790">
        <v>14.75</v>
      </c>
      <c r="E790" s="12">
        <f t="shared" si="25"/>
        <v>3.0542935540461391E-2</v>
      </c>
      <c r="F790" s="12">
        <f t="shared" si="25"/>
        <v>1.0718285074388101E-2</v>
      </c>
      <c r="G790" s="12">
        <f t="shared" si="25"/>
        <v>3.3637000700770914E-2</v>
      </c>
    </row>
    <row r="791" spans="1:7" x14ac:dyDescent="0.3">
      <c r="A791" t="s">
        <v>825</v>
      </c>
      <c r="B791">
        <v>239.58</v>
      </c>
      <c r="C791">
        <v>125.07</v>
      </c>
      <c r="D791">
        <v>14.31</v>
      </c>
      <c r="E791" s="12">
        <f t="shared" si="25"/>
        <v>4.5744216499345347E-2</v>
      </c>
      <c r="F791" s="12">
        <f t="shared" si="25"/>
        <v>-1.0208926875593605E-2</v>
      </c>
      <c r="G791" s="12">
        <f t="shared" si="25"/>
        <v>-2.9830508474576245E-2</v>
      </c>
    </row>
  </sheetData>
  <mergeCells count="8">
    <mergeCell ref="O22:U22"/>
    <mergeCell ref="O33:U33"/>
    <mergeCell ref="E1:G1"/>
    <mergeCell ref="I1:K1"/>
    <mergeCell ref="O1:U1"/>
    <mergeCell ref="V1:Z1"/>
    <mergeCell ref="L2:M2"/>
    <mergeCell ref="O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PLASCENCIA, ESTEPHANY LISSET</dc:creator>
  <cp:lastModifiedBy>HERRERA PLASCENCIA, ESTEPHANY LISSET</cp:lastModifiedBy>
  <dcterms:created xsi:type="dcterms:W3CDTF">2026-03-01T03:05:54Z</dcterms:created>
  <dcterms:modified xsi:type="dcterms:W3CDTF">2026-03-01T03:06:29Z</dcterms:modified>
</cp:coreProperties>
</file>